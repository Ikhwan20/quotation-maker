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105" yWindow="-105" windowWidth="23250" windowHeight="12570" firstSheet="1" activeTab="2"/>
  </bookViews>
  <sheets>
    <sheet name="Jadual" sheetId="3" state="hidden" r:id="rId1"/>
    <sheet name="KOS PELAWAAN" sheetId="9" r:id="rId2"/>
    <sheet name="(TOR)" sheetId="6" r:id="rId3"/>
    <sheet name="Tempoh Perkhidmatan" sheetId="8" r:id="rId4"/>
  </sheets>
  <definedNames>
    <definedName name="_xlnm.Print_Area" localSheetId="2">'(TOR)'!$A$1:$J$268</definedName>
    <definedName name="_xlnm.Print_Area" localSheetId="0">Jadual!$A$1:$J$421</definedName>
    <definedName name="_xlnm.Print_Area" localSheetId="1">'KOS PELAWAAN'!$A$1:$G$298</definedName>
    <definedName name="Z_30793F57_4FD7_4B74_950E_1B10EEE1F021_.wvu.PrintArea" localSheetId="2" hidden="1">'(TOR)'!$A$1:$G$252</definedName>
    <definedName name="Z_30793F57_4FD7_4B74_950E_1B10EEE1F021_.wvu.PrintArea" localSheetId="0" hidden="1">Jadual!$A$1:$G$411</definedName>
    <definedName name="Z_30793F57_4FD7_4B74_950E_1B10EEE1F021_.wvu.PrintArea" localSheetId="1" hidden="1">'KOS PELAWAAN'!$A$1:$G$252</definedName>
    <definedName name="Z_35C2A523_AC11_4AAA_8CB4_6A69EDFF4F9F_.wvu.PrintArea" localSheetId="2" hidden="1">'(TOR)'!$A$1:$G$252</definedName>
    <definedName name="Z_35C2A523_AC11_4AAA_8CB4_6A69EDFF4F9F_.wvu.PrintArea" localSheetId="0" hidden="1">Jadual!$A$1:$G$411</definedName>
    <definedName name="Z_35C2A523_AC11_4AAA_8CB4_6A69EDFF4F9F_.wvu.PrintArea" localSheetId="1" hidden="1">'KOS PELAWAAN'!$A$1:$G$252</definedName>
    <definedName name="Z_71BC8D24_4397_4C26_A08D_A34A3291CDC5_.wvu.PrintArea" localSheetId="2" hidden="1">'(TOR)'!$A$1:$G$252</definedName>
    <definedName name="Z_71BC8D24_4397_4C26_A08D_A34A3291CDC5_.wvu.PrintArea" localSheetId="0" hidden="1">Jadual!$A$1:$G$411</definedName>
    <definedName name="Z_71BC8D24_4397_4C26_A08D_A34A3291CDC5_.wvu.PrintArea" localSheetId="1" hidden="1">'KOS PELAWAAN'!$A$1:$G$252</definedName>
    <definedName name="Z_9F32E66A_6DEA_4A31_9F6B_E7C84A76702A_.wvu.PrintArea" localSheetId="2" hidden="1">'(TOR)'!$A$6:$R$252</definedName>
    <definedName name="Z_9F32E66A_6DEA_4A31_9F6B_E7C84A76702A_.wvu.PrintArea" localSheetId="0" hidden="1">Jadual!$A$3:$S$411</definedName>
    <definedName name="Z_9F32E66A_6DEA_4A31_9F6B_E7C84A76702A_.wvu.PrintArea" localSheetId="1" hidden="1">'KOS PELAWAAN'!$A$6:$R$252</definedName>
    <definedName name="Z_AF7DF338_F005_41D7_89F1_F859EE51A162_.wvu.PrintArea" localSheetId="2" hidden="1">'(TOR)'!$A$6:$R$252</definedName>
    <definedName name="Z_AF7DF338_F005_41D7_89F1_F859EE51A162_.wvu.PrintArea" localSheetId="0" hidden="1">Jadual!$A$3:$S$411</definedName>
    <definedName name="Z_AF7DF338_F005_41D7_89F1_F859EE51A162_.wvu.PrintArea" localSheetId="1" hidden="1">'KOS PELAWAAN'!$A$6:$R$252</definedName>
    <definedName name="Z_FB09C086_13FD_4674_A341_EC28DA4505B9_.wvu.PrintArea" localSheetId="2" hidden="1">'(TOR)'!$A$6:$R$252</definedName>
    <definedName name="Z_FB09C086_13FD_4674_A341_EC28DA4505B9_.wvu.PrintArea" localSheetId="0" hidden="1">Jadual!$A$3:$S$411</definedName>
    <definedName name="Z_FB09C086_13FD_4674_A341_EC28DA4505B9_.wvu.PrintArea" localSheetId="1" hidden="1">'KOS PELAWAAN'!$A$6:$R$252</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68" i="6" l="1"/>
  <c r="D46" i="6"/>
  <c r="G10" i="9" l="1"/>
  <c r="F12" i="9"/>
  <c r="G12" i="9"/>
  <c r="F13" i="9"/>
  <c r="G13" i="9"/>
  <c r="F14" i="9"/>
  <c r="G14" i="9"/>
  <c r="F16" i="9"/>
  <c r="G16" i="9"/>
  <c r="F17" i="9"/>
  <c r="G17" i="9"/>
  <c r="F19" i="9"/>
  <c r="G19" i="9"/>
  <c r="F20" i="9"/>
  <c r="G20" i="9"/>
  <c r="G23" i="9"/>
  <c r="G24" i="9"/>
  <c r="G25" i="9"/>
  <c r="G26" i="9"/>
  <c r="G27" i="9"/>
  <c r="F29" i="9"/>
  <c r="G29" i="9"/>
  <c r="F30" i="9"/>
  <c r="G30" i="9"/>
  <c r="F32" i="9"/>
  <c r="G32" i="9"/>
  <c r="F33" i="9"/>
  <c r="G33" i="9"/>
  <c r="G34" i="9"/>
  <c r="F36" i="9"/>
  <c r="G36" i="9"/>
  <c r="G38" i="9"/>
  <c r="F40" i="9"/>
  <c r="G40" i="9"/>
  <c r="F41" i="9"/>
  <c r="G41" i="9"/>
  <c r="G42" i="9"/>
  <c r="F46" i="9"/>
  <c r="G46" i="9"/>
  <c r="F47" i="9"/>
  <c r="G47" i="9"/>
  <c r="F48" i="9"/>
  <c r="G48" i="9"/>
  <c r="G49" i="9"/>
  <c r="G50" i="9"/>
  <c r="F56" i="9"/>
  <c r="G56" i="9"/>
  <c r="F57" i="9"/>
  <c r="G57" i="9"/>
  <c r="F58" i="9"/>
  <c r="G58" i="9"/>
  <c r="F60" i="9"/>
  <c r="G60" i="9"/>
  <c r="F61" i="9"/>
  <c r="G61" i="9"/>
  <c r="F63" i="9"/>
  <c r="G63" i="9"/>
  <c r="F64" i="9"/>
  <c r="G64" i="9"/>
  <c r="F65" i="9"/>
  <c r="G65" i="9"/>
  <c r="F69" i="9"/>
  <c r="G69" i="9"/>
  <c r="F70" i="9"/>
  <c r="G70" i="9"/>
  <c r="F72" i="9"/>
  <c r="G72" i="9"/>
  <c r="F73" i="9"/>
  <c r="G73" i="9"/>
  <c r="F76" i="9"/>
  <c r="G76" i="9"/>
  <c r="F77" i="9"/>
  <c r="G77" i="9"/>
  <c r="F79" i="9"/>
  <c r="G79" i="9"/>
  <c r="F80" i="9"/>
  <c r="G80" i="9"/>
  <c r="F83" i="9"/>
  <c r="G83" i="9"/>
  <c r="F84" i="9"/>
  <c r="G84" i="9"/>
  <c r="F86" i="9"/>
  <c r="G86" i="9"/>
  <c r="F87" i="9"/>
  <c r="G87" i="9"/>
  <c r="F90" i="9"/>
  <c r="G90" i="9"/>
  <c r="F91" i="9"/>
  <c r="G91" i="9"/>
  <c r="F93" i="9"/>
  <c r="G93" i="9"/>
  <c r="F94" i="9"/>
  <c r="G94" i="9"/>
  <c r="G95" i="9"/>
  <c r="F98" i="9"/>
  <c r="G98" i="9"/>
  <c r="F100" i="9"/>
  <c r="G100" i="9"/>
  <c r="G102" i="9"/>
  <c r="G103" i="9"/>
  <c r="F104" i="9"/>
  <c r="G104" i="9"/>
  <c r="F106" i="9"/>
  <c r="G106" i="9"/>
  <c r="F107" i="9"/>
  <c r="G107" i="9"/>
  <c r="F109" i="9"/>
  <c r="G109" i="9"/>
  <c r="F110" i="9"/>
  <c r="G110" i="9"/>
  <c r="G111" i="9"/>
  <c r="G116" i="9"/>
  <c r="G117" i="9"/>
  <c r="G119" i="9"/>
  <c r="G120" i="9"/>
  <c r="G122" i="9"/>
  <c r="G123" i="9"/>
  <c r="G125" i="9"/>
  <c r="G126" i="9"/>
  <c r="G127" i="9"/>
  <c r="G128" i="9"/>
  <c r="G129" i="9"/>
  <c r="G130" i="9"/>
  <c r="F134" i="9"/>
  <c r="G134" i="9"/>
  <c r="F135" i="9"/>
  <c r="G135" i="9"/>
  <c r="F136" i="9"/>
  <c r="G136" i="9"/>
  <c r="F137" i="9"/>
  <c r="G137" i="9"/>
  <c r="G139" i="9"/>
  <c r="G140" i="9"/>
  <c r="G141" i="9"/>
  <c r="G145" i="9"/>
  <c r="G146" i="9"/>
  <c r="G148" i="9"/>
  <c r="G149" i="9"/>
  <c r="G151" i="9"/>
  <c r="G152" i="9"/>
  <c r="G156" i="9"/>
  <c r="G157" i="9"/>
  <c r="G159" i="9"/>
  <c r="G160" i="9"/>
  <c r="G162" i="9"/>
  <c r="G163" i="9"/>
  <c r="G165" i="9"/>
  <c r="G166" i="9"/>
  <c r="G168" i="9"/>
  <c r="G169" i="9"/>
  <c r="G170" i="9"/>
  <c r="G171" i="9"/>
  <c r="G172" i="9"/>
  <c r="G174" i="9"/>
  <c r="G175" i="9"/>
  <c r="G176" i="9"/>
  <c r="C260" i="9"/>
  <c r="G181" i="9"/>
  <c r="F183" i="9"/>
  <c r="G183" i="9"/>
  <c r="F184" i="9"/>
  <c r="G184" i="9"/>
  <c r="F185" i="9"/>
  <c r="G185" i="9"/>
  <c r="F187" i="9"/>
  <c r="G187" i="9"/>
  <c r="F188" i="9"/>
  <c r="G188" i="9"/>
  <c r="F190" i="9"/>
  <c r="G190" i="9"/>
  <c r="F191" i="9"/>
  <c r="G191" i="9"/>
  <c r="G192" i="9"/>
  <c r="F194" i="9"/>
  <c r="G194" i="9"/>
  <c r="F196" i="9"/>
  <c r="G196" i="9"/>
  <c r="F197" i="9"/>
  <c r="G197" i="9"/>
  <c r="F200" i="9"/>
  <c r="G200" i="9"/>
  <c r="F201" i="9"/>
  <c r="G201" i="9"/>
  <c r="F203" i="9"/>
  <c r="G203" i="9"/>
  <c r="F204" i="9"/>
  <c r="G204" i="9"/>
  <c r="G206" i="9"/>
  <c r="G207" i="9"/>
  <c r="C261" i="9"/>
  <c r="C264" i="9"/>
  <c r="G215" i="9"/>
  <c r="G217" i="9"/>
  <c r="G218" i="9"/>
  <c r="G219" i="9"/>
  <c r="G220" i="9"/>
  <c r="G221" i="9"/>
  <c r="G222" i="9"/>
  <c r="G224" i="9"/>
  <c r="G225" i="9"/>
  <c r="G228" i="9"/>
  <c r="G229" i="9"/>
  <c r="G230" i="9"/>
  <c r="G231" i="9"/>
  <c r="G232" i="9"/>
  <c r="G233" i="9"/>
  <c r="G234" i="9"/>
  <c r="G237" i="9"/>
  <c r="G239" i="9"/>
  <c r="G240" i="9"/>
  <c r="G241" i="9"/>
  <c r="G242" i="9"/>
  <c r="G244" i="9"/>
  <c r="G245" i="9"/>
  <c r="G248" i="9"/>
  <c r="G249" i="9"/>
  <c r="G250" i="9"/>
  <c r="F251" i="9"/>
  <c r="G251" i="9"/>
  <c r="G252" i="9"/>
  <c r="G254" i="9"/>
  <c r="G256" i="9"/>
  <c r="C265" i="9"/>
  <c r="C266" i="9"/>
  <c r="C267" i="9"/>
  <c r="C268" i="9"/>
  <c r="I215" i="9"/>
  <c r="I217" i="9"/>
  <c r="I218" i="9"/>
  <c r="I219" i="9"/>
  <c r="I220" i="9"/>
  <c r="I221" i="9"/>
  <c r="I222" i="9"/>
  <c r="H224" i="9"/>
  <c r="I224" i="9"/>
  <c r="I225" i="9"/>
  <c r="I228" i="9"/>
  <c r="I229" i="9"/>
  <c r="I230" i="9"/>
  <c r="I231" i="9"/>
  <c r="I232" i="9"/>
  <c r="I233" i="9"/>
  <c r="I234" i="9"/>
  <c r="I256" i="9"/>
  <c r="I181" i="9"/>
  <c r="H183" i="9"/>
  <c r="I183" i="9"/>
  <c r="H184" i="9"/>
  <c r="I184" i="9"/>
  <c r="H185" i="9"/>
  <c r="I185" i="9"/>
  <c r="H187" i="9"/>
  <c r="I187" i="9"/>
  <c r="H188" i="9"/>
  <c r="I188" i="9"/>
  <c r="H190" i="9"/>
  <c r="I190" i="9"/>
  <c r="H191" i="9"/>
  <c r="I191" i="9"/>
  <c r="I192" i="9"/>
  <c r="H194" i="9"/>
  <c r="I194" i="9"/>
  <c r="H196" i="9"/>
  <c r="I196" i="9"/>
  <c r="H197" i="9"/>
  <c r="I197" i="9"/>
  <c r="H200" i="9"/>
  <c r="I200" i="9"/>
  <c r="H201" i="9"/>
  <c r="I201" i="9"/>
  <c r="I202" i="9"/>
  <c r="H203" i="9"/>
  <c r="I203" i="9"/>
  <c r="H204" i="9"/>
  <c r="I204" i="9"/>
  <c r="I206" i="9"/>
  <c r="I207" i="9"/>
  <c r="I10" i="9"/>
  <c r="H12" i="9"/>
  <c r="I12" i="9"/>
  <c r="H13" i="9"/>
  <c r="I13" i="9"/>
  <c r="H14" i="9"/>
  <c r="I14" i="9"/>
  <c r="H16" i="9"/>
  <c r="I16" i="9"/>
  <c r="H17" i="9"/>
  <c r="I17" i="9"/>
  <c r="H19" i="9"/>
  <c r="I19" i="9"/>
  <c r="H20" i="9"/>
  <c r="I20" i="9"/>
  <c r="I23" i="9"/>
  <c r="I24" i="9"/>
  <c r="I25" i="9"/>
  <c r="I26" i="9"/>
  <c r="I27" i="9"/>
  <c r="H29" i="9"/>
  <c r="I29" i="9"/>
  <c r="H30" i="9"/>
  <c r="I30" i="9"/>
  <c r="H32" i="9"/>
  <c r="I32" i="9"/>
  <c r="H33" i="9"/>
  <c r="I33" i="9"/>
  <c r="I34" i="9"/>
  <c r="H36" i="9"/>
  <c r="I36" i="9"/>
  <c r="I38" i="9"/>
  <c r="H40" i="9"/>
  <c r="I40" i="9"/>
  <c r="H41" i="9"/>
  <c r="I41" i="9"/>
  <c r="I42" i="9"/>
  <c r="H46" i="9"/>
  <c r="I46" i="9"/>
  <c r="H47" i="9"/>
  <c r="I47" i="9"/>
  <c r="H48" i="9"/>
  <c r="I48" i="9"/>
  <c r="I49" i="9"/>
  <c r="I50" i="9"/>
  <c r="H56" i="9"/>
  <c r="I56" i="9"/>
  <c r="H57" i="9"/>
  <c r="I57" i="9"/>
  <c r="H58" i="9"/>
  <c r="I58" i="9"/>
  <c r="H60" i="9"/>
  <c r="I60" i="9"/>
  <c r="H61" i="9"/>
  <c r="I61" i="9"/>
  <c r="H63" i="9"/>
  <c r="I63" i="9"/>
  <c r="H64" i="9"/>
  <c r="I64" i="9"/>
  <c r="H65" i="9"/>
  <c r="I65" i="9"/>
  <c r="H69" i="9"/>
  <c r="I69" i="9"/>
  <c r="H70" i="9"/>
  <c r="I70" i="9"/>
  <c r="H72" i="9"/>
  <c r="I72" i="9"/>
  <c r="H73" i="9"/>
  <c r="I73" i="9"/>
  <c r="H76" i="9"/>
  <c r="I76" i="9"/>
  <c r="H77" i="9"/>
  <c r="I77" i="9"/>
  <c r="H79" i="9"/>
  <c r="I79" i="9"/>
  <c r="H80" i="9"/>
  <c r="I80" i="9"/>
  <c r="H83" i="9"/>
  <c r="I83" i="9"/>
  <c r="H84" i="9"/>
  <c r="I84" i="9"/>
  <c r="H86" i="9"/>
  <c r="I86" i="9"/>
  <c r="H87" i="9"/>
  <c r="I87" i="9"/>
  <c r="H90" i="9"/>
  <c r="I90" i="9"/>
  <c r="H91" i="9"/>
  <c r="I91" i="9"/>
  <c r="H93" i="9"/>
  <c r="I93" i="9"/>
  <c r="H94" i="9"/>
  <c r="I94" i="9"/>
  <c r="I95" i="9"/>
  <c r="H98" i="9"/>
  <c r="I98" i="9"/>
  <c r="H100" i="9"/>
  <c r="I100" i="9"/>
  <c r="I102" i="9"/>
  <c r="I103" i="9"/>
  <c r="H104" i="9"/>
  <c r="I104" i="9"/>
  <c r="H106" i="9"/>
  <c r="I106" i="9"/>
  <c r="H107" i="9"/>
  <c r="I107" i="9"/>
  <c r="H109" i="9"/>
  <c r="I109" i="9"/>
  <c r="H110" i="9"/>
  <c r="I110" i="9"/>
  <c r="I111" i="9"/>
  <c r="H116" i="9"/>
  <c r="I116" i="9"/>
  <c r="H117" i="9"/>
  <c r="I117" i="9"/>
  <c r="I119" i="9"/>
  <c r="H120" i="9"/>
  <c r="I120" i="9"/>
  <c r="H122" i="9"/>
  <c r="I122" i="9"/>
  <c r="H123" i="9"/>
  <c r="I123" i="9"/>
  <c r="H125" i="9"/>
  <c r="I125" i="9"/>
  <c r="H126" i="9"/>
  <c r="I126" i="9"/>
  <c r="I127" i="9"/>
  <c r="I128" i="9"/>
  <c r="I129" i="9"/>
  <c r="I130" i="9"/>
  <c r="H134" i="9"/>
  <c r="I134" i="9"/>
  <c r="H135" i="9"/>
  <c r="I135" i="9"/>
  <c r="H136" i="9"/>
  <c r="I136" i="9"/>
  <c r="H137" i="9"/>
  <c r="I137" i="9"/>
  <c r="I139" i="9"/>
  <c r="H140" i="9"/>
  <c r="I140" i="9"/>
  <c r="H141" i="9"/>
  <c r="I141" i="9"/>
  <c r="I145" i="9"/>
  <c r="I146" i="9"/>
  <c r="I148" i="9"/>
  <c r="I149" i="9"/>
  <c r="I151" i="9"/>
  <c r="I152" i="9"/>
  <c r="I156" i="9"/>
  <c r="I157" i="9"/>
  <c r="I159" i="9"/>
  <c r="I160" i="9"/>
  <c r="I162" i="9"/>
  <c r="I163" i="9"/>
  <c r="I165" i="9"/>
  <c r="I166" i="9"/>
  <c r="I168" i="9"/>
  <c r="I169" i="9"/>
  <c r="I170" i="9"/>
  <c r="I171" i="9"/>
  <c r="I172" i="9"/>
  <c r="I174" i="9"/>
  <c r="I175" i="9"/>
  <c r="I176" i="9"/>
  <c r="F141" i="9"/>
  <c r="F140" i="9"/>
  <c r="H139" i="9"/>
  <c r="F139" i="9"/>
  <c r="G254" i="6"/>
  <c r="G252" i="6"/>
  <c r="F251" i="6"/>
  <c r="G251" i="6"/>
  <c r="G250" i="6"/>
  <c r="G249" i="6"/>
  <c r="G248" i="6"/>
  <c r="G245" i="6"/>
  <c r="G244" i="6"/>
  <c r="F242" i="6"/>
  <c r="G242" i="6"/>
  <c r="G241" i="6"/>
  <c r="D240" i="6"/>
  <c r="G240" i="6"/>
  <c r="D239" i="6"/>
  <c r="G239" i="6"/>
  <c r="G237" i="6"/>
  <c r="D237" i="6"/>
  <c r="I234" i="6"/>
  <c r="G234" i="6"/>
  <c r="I233" i="6"/>
  <c r="G233" i="6"/>
  <c r="I232" i="6"/>
  <c r="G232" i="6"/>
  <c r="I231" i="6"/>
  <c r="G231" i="6"/>
  <c r="I230" i="6"/>
  <c r="G230" i="6"/>
  <c r="I229" i="6"/>
  <c r="G229" i="6"/>
  <c r="I228" i="6"/>
  <c r="G228" i="6"/>
  <c r="I225" i="6"/>
  <c r="G225" i="6"/>
  <c r="H224" i="6"/>
  <c r="I224" i="6"/>
  <c r="G224" i="6"/>
  <c r="I222" i="6"/>
  <c r="G222" i="6"/>
  <c r="I221" i="6"/>
  <c r="G221" i="6"/>
  <c r="I220" i="6"/>
  <c r="G220" i="6"/>
  <c r="I219" i="6"/>
  <c r="G219" i="6"/>
  <c r="I218" i="6"/>
  <c r="G218" i="6"/>
  <c r="I217" i="6"/>
  <c r="G217" i="6"/>
  <c r="I215" i="6"/>
  <c r="G215" i="6"/>
  <c r="H204" i="6"/>
  <c r="I204" i="6"/>
  <c r="F204" i="6"/>
  <c r="G204" i="6"/>
  <c r="H203" i="6"/>
  <c r="I203" i="6"/>
  <c r="F203" i="6"/>
  <c r="G203" i="6"/>
  <c r="I202" i="6"/>
  <c r="I201" i="6"/>
  <c r="H201" i="6"/>
  <c r="G201" i="6"/>
  <c r="F201" i="6"/>
  <c r="H200" i="6"/>
  <c r="I200" i="6"/>
  <c r="F200" i="6"/>
  <c r="G200" i="6"/>
  <c r="H197" i="6"/>
  <c r="I197" i="6"/>
  <c r="F197" i="6"/>
  <c r="G197" i="6"/>
  <c r="H196" i="6"/>
  <c r="I196" i="6"/>
  <c r="F196" i="6"/>
  <c r="G196" i="6"/>
  <c r="H194" i="6"/>
  <c r="I194" i="6"/>
  <c r="G194" i="6"/>
  <c r="F194" i="6"/>
  <c r="I192" i="6"/>
  <c r="G192" i="6"/>
  <c r="I191" i="6"/>
  <c r="H191" i="6"/>
  <c r="F191" i="6"/>
  <c r="G191" i="6"/>
  <c r="I190" i="6"/>
  <c r="H190" i="6"/>
  <c r="F190" i="6"/>
  <c r="G190" i="6"/>
  <c r="I188" i="6"/>
  <c r="H188" i="6"/>
  <c r="F188" i="6"/>
  <c r="G188" i="6"/>
  <c r="H187" i="6"/>
  <c r="I187" i="6"/>
  <c r="F187" i="6"/>
  <c r="G187" i="6"/>
  <c r="I185" i="6"/>
  <c r="H185" i="6"/>
  <c r="G185" i="6"/>
  <c r="F185" i="6"/>
  <c r="H184" i="6"/>
  <c r="I184" i="6"/>
  <c r="F184" i="6"/>
  <c r="G184" i="6"/>
  <c r="H183" i="6"/>
  <c r="I183" i="6"/>
  <c r="G183" i="6"/>
  <c r="F183" i="6"/>
  <c r="I181" i="6"/>
  <c r="G181" i="6"/>
  <c r="I169" i="6"/>
  <c r="G169" i="6"/>
  <c r="I168" i="6"/>
  <c r="G168" i="6"/>
  <c r="I166" i="6"/>
  <c r="G166" i="6"/>
  <c r="I165" i="6"/>
  <c r="G165" i="6"/>
  <c r="I163" i="6"/>
  <c r="G163" i="6"/>
  <c r="I162" i="6"/>
  <c r="G162" i="6"/>
  <c r="I160" i="6"/>
  <c r="G160" i="6"/>
  <c r="I159" i="6"/>
  <c r="G159" i="6"/>
  <c r="I157" i="6"/>
  <c r="G157" i="6"/>
  <c r="I156" i="6"/>
  <c r="G156" i="6"/>
  <c r="I152" i="6"/>
  <c r="G152" i="6"/>
  <c r="I151" i="6"/>
  <c r="G151" i="6"/>
  <c r="I149" i="6"/>
  <c r="G149" i="6"/>
  <c r="I148" i="6"/>
  <c r="G148" i="6"/>
  <c r="I146" i="6"/>
  <c r="G146" i="6"/>
  <c r="I145" i="6"/>
  <c r="G145" i="6"/>
  <c r="H141" i="6"/>
  <c r="I141" i="6"/>
  <c r="G141" i="6"/>
  <c r="F141" i="6"/>
  <c r="I140" i="6"/>
  <c r="H140" i="6"/>
  <c r="G140" i="6"/>
  <c r="F140" i="6"/>
  <c r="I139" i="6"/>
  <c r="H139" i="6"/>
  <c r="G139" i="6"/>
  <c r="F139" i="6"/>
  <c r="I137" i="6"/>
  <c r="H137" i="6"/>
  <c r="F137" i="6"/>
  <c r="G137" i="6"/>
  <c r="H136" i="6"/>
  <c r="I136" i="6"/>
  <c r="F136" i="6"/>
  <c r="G136" i="6"/>
  <c r="I135" i="6"/>
  <c r="H135" i="6"/>
  <c r="F135" i="6"/>
  <c r="G135" i="6"/>
  <c r="H134" i="6"/>
  <c r="I134" i="6"/>
  <c r="F134" i="6"/>
  <c r="G134" i="6"/>
  <c r="I129" i="6"/>
  <c r="G129" i="6"/>
  <c r="H126" i="6"/>
  <c r="I126" i="6"/>
  <c r="G126" i="6"/>
  <c r="H125" i="6"/>
  <c r="I125" i="6"/>
  <c r="G125" i="6"/>
  <c r="I123" i="6"/>
  <c r="H123" i="6"/>
  <c r="G123" i="6"/>
  <c r="H122" i="6"/>
  <c r="I122" i="6"/>
  <c r="G122" i="6"/>
  <c r="H120" i="6"/>
  <c r="I120" i="6"/>
  <c r="G120" i="6"/>
  <c r="I119" i="6"/>
  <c r="G119" i="6"/>
  <c r="H117" i="6"/>
  <c r="I117" i="6"/>
  <c r="G117" i="6"/>
  <c r="H116" i="6"/>
  <c r="I116" i="6"/>
  <c r="G116" i="6"/>
  <c r="G127" i="6"/>
  <c r="G128" i="6"/>
  <c r="H110" i="6"/>
  <c r="I110" i="6"/>
  <c r="F110" i="6"/>
  <c r="G110" i="6"/>
  <c r="H109" i="6"/>
  <c r="I109" i="6"/>
  <c r="F109" i="6"/>
  <c r="G109" i="6"/>
  <c r="H107" i="6"/>
  <c r="I107" i="6"/>
  <c r="F107" i="6"/>
  <c r="G107" i="6"/>
  <c r="H106" i="6"/>
  <c r="I106" i="6"/>
  <c r="F106" i="6"/>
  <c r="G106" i="6"/>
  <c r="H104" i="6"/>
  <c r="I104" i="6"/>
  <c r="F104" i="6"/>
  <c r="G104" i="6"/>
  <c r="I103" i="6"/>
  <c r="G103" i="6"/>
  <c r="I102" i="6"/>
  <c r="G102" i="6"/>
  <c r="H100" i="6"/>
  <c r="I100" i="6"/>
  <c r="F100" i="6"/>
  <c r="G100" i="6"/>
  <c r="H98" i="6"/>
  <c r="I98" i="6"/>
  <c r="F98" i="6"/>
  <c r="G98" i="6"/>
  <c r="H94" i="6"/>
  <c r="I94" i="6"/>
  <c r="F94" i="6"/>
  <c r="G94" i="6"/>
  <c r="H93" i="6"/>
  <c r="I93" i="6"/>
  <c r="F93" i="6"/>
  <c r="G93" i="6"/>
  <c r="H91" i="6"/>
  <c r="I91" i="6"/>
  <c r="F91" i="6"/>
  <c r="G91" i="6"/>
  <c r="H90" i="6"/>
  <c r="I90" i="6"/>
  <c r="F90" i="6"/>
  <c r="G90" i="6"/>
  <c r="H87" i="6"/>
  <c r="I87" i="6"/>
  <c r="F87" i="6"/>
  <c r="G87" i="6"/>
  <c r="H86" i="6"/>
  <c r="I86" i="6"/>
  <c r="F86" i="6"/>
  <c r="G86" i="6"/>
  <c r="H84" i="6"/>
  <c r="I84" i="6"/>
  <c r="F84" i="6"/>
  <c r="G84" i="6"/>
  <c r="H83" i="6"/>
  <c r="I83" i="6"/>
  <c r="F83" i="6"/>
  <c r="G83" i="6"/>
  <c r="H80" i="6"/>
  <c r="I80" i="6"/>
  <c r="F80" i="6"/>
  <c r="G80" i="6"/>
  <c r="H79" i="6"/>
  <c r="I79" i="6"/>
  <c r="F79" i="6"/>
  <c r="G79" i="6"/>
  <c r="H77" i="6"/>
  <c r="I77" i="6"/>
  <c r="F77" i="6"/>
  <c r="G77" i="6"/>
  <c r="H76" i="6"/>
  <c r="I76" i="6"/>
  <c r="F76" i="6"/>
  <c r="G76" i="6"/>
  <c r="H73" i="6"/>
  <c r="I73" i="6"/>
  <c r="F73" i="6"/>
  <c r="G73" i="6"/>
  <c r="H72" i="6"/>
  <c r="I72" i="6"/>
  <c r="F72" i="6"/>
  <c r="G72" i="6"/>
  <c r="H70" i="6"/>
  <c r="I70" i="6"/>
  <c r="F70" i="6"/>
  <c r="G70" i="6"/>
  <c r="H69" i="6"/>
  <c r="I69" i="6"/>
  <c r="F69" i="6"/>
  <c r="G69" i="6"/>
  <c r="H65" i="6"/>
  <c r="I65" i="6"/>
  <c r="F65" i="6"/>
  <c r="G65" i="6"/>
  <c r="H64" i="6"/>
  <c r="I64" i="6"/>
  <c r="F64" i="6"/>
  <c r="G64" i="6"/>
  <c r="H63" i="6"/>
  <c r="I63" i="6"/>
  <c r="F63" i="6"/>
  <c r="G63" i="6"/>
  <c r="H61" i="6"/>
  <c r="I61" i="6"/>
  <c r="F61" i="6"/>
  <c r="G61" i="6"/>
  <c r="H60" i="6"/>
  <c r="I60" i="6"/>
  <c r="F60" i="6"/>
  <c r="G60" i="6"/>
  <c r="H58" i="6"/>
  <c r="I58" i="6"/>
  <c r="F58" i="6"/>
  <c r="G58" i="6"/>
  <c r="H57" i="6"/>
  <c r="I57" i="6"/>
  <c r="F57" i="6"/>
  <c r="G57" i="6"/>
  <c r="H56" i="6"/>
  <c r="I56" i="6"/>
  <c r="F56" i="6"/>
  <c r="G56" i="6"/>
  <c r="I49" i="6"/>
  <c r="G49" i="6"/>
  <c r="H48" i="6"/>
  <c r="I48" i="6"/>
  <c r="F48" i="6"/>
  <c r="G48" i="6"/>
  <c r="H47" i="6"/>
  <c r="I47" i="6"/>
  <c r="F47" i="6"/>
  <c r="G47" i="6"/>
  <c r="H46" i="6"/>
  <c r="F46" i="6"/>
  <c r="I46" i="6"/>
  <c r="I41" i="6"/>
  <c r="H41" i="6"/>
  <c r="F41" i="6"/>
  <c r="G41" i="6"/>
  <c r="I40" i="6"/>
  <c r="H40" i="6"/>
  <c r="F40" i="6"/>
  <c r="G40" i="6"/>
  <c r="I38" i="6"/>
  <c r="G38" i="6"/>
  <c r="H36" i="6"/>
  <c r="I36" i="6"/>
  <c r="G36" i="6"/>
  <c r="F36" i="6"/>
  <c r="I34" i="6"/>
  <c r="G34" i="6"/>
  <c r="I33" i="6"/>
  <c r="H33" i="6"/>
  <c r="F33" i="6"/>
  <c r="G33" i="6"/>
  <c r="I32" i="6"/>
  <c r="H32" i="6"/>
  <c r="F32" i="6"/>
  <c r="G32" i="6"/>
  <c r="I30" i="6"/>
  <c r="H30" i="6"/>
  <c r="F30" i="6"/>
  <c r="G30" i="6"/>
  <c r="I29" i="6"/>
  <c r="H29" i="6"/>
  <c r="F29" i="6"/>
  <c r="G29" i="6"/>
  <c r="I27" i="6"/>
  <c r="G27" i="6"/>
  <c r="I26" i="6"/>
  <c r="G26" i="6"/>
  <c r="I25" i="6"/>
  <c r="G25" i="6"/>
  <c r="I24" i="6"/>
  <c r="G24" i="6"/>
  <c r="I23" i="6"/>
  <c r="G23" i="6"/>
  <c r="H20" i="6"/>
  <c r="I20" i="6"/>
  <c r="G20" i="6"/>
  <c r="F20" i="6"/>
  <c r="H19" i="6"/>
  <c r="F19" i="6"/>
  <c r="D19" i="6"/>
  <c r="H17" i="6"/>
  <c r="I17" i="6"/>
  <c r="F17" i="6"/>
  <c r="G17" i="6"/>
  <c r="H16" i="6"/>
  <c r="I16" i="6"/>
  <c r="F16" i="6"/>
  <c r="G16" i="6"/>
  <c r="H14" i="6"/>
  <c r="I14" i="6"/>
  <c r="F14" i="6"/>
  <c r="G14" i="6"/>
  <c r="H13" i="6"/>
  <c r="I13" i="6"/>
  <c r="F13" i="6"/>
  <c r="G13" i="6"/>
  <c r="H12" i="6"/>
  <c r="I12" i="6"/>
  <c r="F12" i="6"/>
  <c r="G12" i="6"/>
  <c r="I10" i="6"/>
  <c r="G10" i="6"/>
  <c r="G170" i="6"/>
  <c r="G171" i="6"/>
  <c r="G206" i="6"/>
  <c r="G207" i="6"/>
  <c r="C261" i="6"/>
  <c r="I19" i="6"/>
  <c r="I50" i="6"/>
  <c r="I256" i="6"/>
  <c r="I111" i="6"/>
  <c r="G95" i="6"/>
  <c r="I95" i="6"/>
  <c r="G256" i="6"/>
  <c r="C265" i="6"/>
  <c r="G42" i="6"/>
  <c r="I172" i="6"/>
  <c r="I127" i="6"/>
  <c r="I42" i="6"/>
  <c r="I206" i="6"/>
  <c r="I207" i="6"/>
  <c r="G111" i="6"/>
  <c r="I170" i="6"/>
  <c r="I171" i="6"/>
  <c r="G46" i="6"/>
  <c r="G50" i="6"/>
  <c r="G130" i="6"/>
  <c r="G172" i="6"/>
  <c r="G19" i="6"/>
  <c r="G174" i="6"/>
  <c r="I128" i="6"/>
  <c r="I130" i="6"/>
  <c r="I174" i="6"/>
  <c r="I175" i="6"/>
  <c r="I176" i="6"/>
  <c r="G175" i="6"/>
  <c r="G176" i="6"/>
  <c r="C260" i="6"/>
  <c r="C264" i="6"/>
  <c r="C266" i="6"/>
  <c r="C267" i="6"/>
  <c r="G407" i="3"/>
  <c r="G408" i="3"/>
  <c r="G406" i="3"/>
  <c r="G404" i="3"/>
  <c r="G403" i="3"/>
  <c r="I393" i="3"/>
  <c r="I394" i="3"/>
  <c r="I395" i="3"/>
  <c r="I392" i="3"/>
  <c r="G393" i="3"/>
  <c r="G394" i="3"/>
  <c r="G395" i="3"/>
  <c r="G392" i="3"/>
  <c r="G385" i="3"/>
  <c r="I385" i="3"/>
  <c r="I384" i="3"/>
  <c r="G384" i="3"/>
  <c r="I381" i="3"/>
  <c r="I382" i="3"/>
  <c r="G382" i="3"/>
  <c r="G381" i="3"/>
  <c r="I380" i="3"/>
  <c r="G380" i="3"/>
  <c r="F374" i="3"/>
  <c r="G374" i="3"/>
  <c r="H374" i="3"/>
  <c r="I374" i="3"/>
  <c r="G375" i="3"/>
  <c r="I375" i="3"/>
  <c r="G377" i="3"/>
  <c r="I377" i="3"/>
  <c r="G378" i="3"/>
  <c r="I378" i="3"/>
  <c r="G379" i="3"/>
  <c r="I379" i="3"/>
  <c r="G386" i="3"/>
  <c r="I386" i="3"/>
  <c r="G387" i="3"/>
  <c r="I387" i="3"/>
  <c r="G388" i="3"/>
  <c r="I388" i="3"/>
  <c r="G389" i="3"/>
  <c r="I389" i="3"/>
  <c r="G390" i="3"/>
  <c r="I390" i="3"/>
  <c r="G391" i="3"/>
  <c r="I391" i="3"/>
  <c r="F398" i="3"/>
  <c r="G398" i="3"/>
  <c r="G399" i="3"/>
  <c r="G401" i="3"/>
  <c r="G402" i="3"/>
  <c r="G410" i="3"/>
  <c r="G411" i="3"/>
  <c r="H248" i="3"/>
  <c r="H245" i="3"/>
  <c r="H242" i="3"/>
  <c r="H239" i="3"/>
  <c r="H249" i="3"/>
  <c r="H246" i="3"/>
  <c r="H243" i="3"/>
  <c r="H240" i="3"/>
  <c r="F248" i="3"/>
  <c r="F245" i="3"/>
  <c r="F242" i="3"/>
  <c r="F239" i="3"/>
  <c r="I412" i="3"/>
  <c r="D418" i="3"/>
  <c r="G412" i="3"/>
  <c r="I364" i="3"/>
  <c r="G364" i="3"/>
  <c r="I363" i="3"/>
  <c r="G363" i="3"/>
  <c r="I362" i="3"/>
  <c r="G362" i="3"/>
  <c r="H360" i="3"/>
  <c r="I360" i="3"/>
  <c r="F360" i="3"/>
  <c r="G360" i="3"/>
  <c r="H359" i="3"/>
  <c r="I359" i="3"/>
  <c r="F359" i="3"/>
  <c r="G359" i="3"/>
  <c r="H357" i="3"/>
  <c r="I357" i="3"/>
  <c r="F357" i="3"/>
  <c r="G357" i="3"/>
  <c r="H356" i="3"/>
  <c r="I356" i="3"/>
  <c r="F356" i="3"/>
  <c r="G356" i="3"/>
  <c r="H355" i="3"/>
  <c r="I355" i="3"/>
  <c r="F355" i="3"/>
  <c r="G355" i="3"/>
  <c r="H352" i="3"/>
  <c r="I352" i="3"/>
  <c r="F352" i="3"/>
  <c r="G352" i="3"/>
  <c r="H351" i="3"/>
  <c r="I351" i="3"/>
  <c r="F351" i="3"/>
  <c r="G351" i="3"/>
  <c r="H349" i="3"/>
  <c r="I349" i="3"/>
  <c r="F349" i="3"/>
  <c r="G349" i="3"/>
  <c r="H348" i="3"/>
  <c r="I348" i="3"/>
  <c r="F348" i="3"/>
  <c r="G348" i="3"/>
  <c r="I347" i="3"/>
  <c r="G347" i="3"/>
  <c r="H346" i="3"/>
  <c r="I346" i="3"/>
  <c r="F346" i="3"/>
  <c r="G346" i="3"/>
  <c r="H345" i="3"/>
  <c r="I345" i="3"/>
  <c r="F345" i="3"/>
  <c r="G345" i="3"/>
  <c r="H342" i="3"/>
  <c r="I342" i="3"/>
  <c r="F342" i="3"/>
  <c r="G342" i="3"/>
  <c r="I340" i="3"/>
  <c r="G340" i="3"/>
  <c r="H339" i="3"/>
  <c r="I339" i="3"/>
  <c r="F339" i="3"/>
  <c r="G339" i="3"/>
  <c r="H338" i="3"/>
  <c r="I338" i="3"/>
  <c r="F338" i="3"/>
  <c r="G338" i="3"/>
  <c r="H336" i="3"/>
  <c r="I336" i="3"/>
  <c r="F336" i="3"/>
  <c r="G336" i="3"/>
  <c r="H335" i="3"/>
  <c r="I335" i="3"/>
  <c r="F335" i="3"/>
  <c r="G335" i="3"/>
  <c r="H333" i="3"/>
  <c r="I333" i="3"/>
  <c r="F333" i="3"/>
  <c r="G333" i="3"/>
  <c r="H332" i="3"/>
  <c r="I332" i="3"/>
  <c r="F332" i="3"/>
  <c r="G332" i="3"/>
  <c r="H330" i="3"/>
  <c r="I330" i="3"/>
  <c r="F330" i="3"/>
  <c r="G330" i="3"/>
  <c r="H329" i="3"/>
  <c r="I329" i="3"/>
  <c r="F329" i="3"/>
  <c r="G329" i="3"/>
  <c r="H327" i="3"/>
  <c r="I327" i="3"/>
  <c r="F327" i="3"/>
  <c r="G327" i="3"/>
  <c r="H326" i="3"/>
  <c r="I326" i="3"/>
  <c r="F326" i="3"/>
  <c r="G326" i="3"/>
  <c r="H325" i="3"/>
  <c r="I325" i="3"/>
  <c r="F325" i="3"/>
  <c r="G325" i="3"/>
  <c r="H323" i="3"/>
  <c r="I323" i="3"/>
  <c r="F323" i="3"/>
  <c r="G323" i="3"/>
  <c r="I311" i="3"/>
  <c r="G311" i="3"/>
  <c r="I310" i="3"/>
  <c r="G310" i="3"/>
  <c r="I308" i="3"/>
  <c r="G308" i="3"/>
  <c r="I307" i="3"/>
  <c r="G307" i="3"/>
  <c r="I305" i="3"/>
  <c r="G305" i="3"/>
  <c r="I304" i="3"/>
  <c r="G304" i="3"/>
  <c r="I302" i="3"/>
  <c r="G302" i="3"/>
  <c r="I301" i="3"/>
  <c r="G301" i="3"/>
  <c r="I299" i="3"/>
  <c r="G299" i="3"/>
  <c r="I298" i="3"/>
  <c r="G298" i="3"/>
  <c r="I294" i="3"/>
  <c r="G294" i="3"/>
  <c r="I293" i="3"/>
  <c r="G293" i="3"/>
  <c r="I291" i="3"/>
  <c r="G291" i="3"/>
  <c r="I290" i="3"/>
  <c r="G290" i="3"/>
  <c r="I288" i="3"/>
  <c r="G288" i="3"/>
  <c r="I287" i="3"/>
  <c r="G287" i="3"/>
  <c r="H283" i="3"/>
  <c r="I283" i="3"/>
  <c r="G283" i="3"/>
  <c r="F283" i="3"/>
  <c r="H282" i="3"/>
  <c r="I282" i="3"/>
  <c r="G282" i="3"/>
  <c r="F282" i="3"/>
  <c r="I281" i="3"/>
  <c r="H281" i="3"/>
  <c r="G281" i="3"/>
  <c r="F281" i="3"/>
  <c r="H279" i="3"/>
  <c r="I279" i="3"/>
  <c r="F279" i="3"/>
  <c r="G279" i="3"/>
  <c r="H278" i="3"/>
  <c r="I278" i="3"/>
  <c r="F278" i="3"/>
  <c r="G278" i="3"/>
  <c r="H277" i="3"/>
  <c r="I277" i="3"/>
  <c r="F277" i="3"/>
  <c r="G277" i="3"/>
  <c r="H276" i="3"/>
  <c r="I276" i="3"/>
  <c r="F276" i="3"/>
  <c r="G276" i="3"/>
  <c r="H274" i="3"/>
  <c r="I274" i="3"/>
  <c r="F274" i="3"/>
  <c r="G274" i="3"/>
  <c r="I272" i="3"/>
  <c r="G272" i="3"/>
  <c r="H271" i="3"/>
  <c r="I271" i="3"/>
  <c r="F271" i="3"/>
  <c r="G271" i="3"/>
  <c r="H270" i="3"/>
  <c r="I270" i="3"/>
  <c r="F270" i="3"/>
  <c r="G270" i="3"/>
  <c r="H268" i="3"/>
  <c r="I268" i="3"/>
  <c r="F268" i="3"/>
  <c r="G268" i="3"/>
  <c r="H267" i="3"/>
  <c r="I267" i="3"/>
  <c r="F267" i="3"/>
  <c r="G267" i="3"/>
  <c r="H265" i="3"/>
  <c r="I265" i="3"/>
  <c r="F265" i="3"/>
  <c r="G265" i="3"/>
  <c r="H264" i="3"/>
  <c r="I264" i="3"/>
  <c r="F264" i="3"/>
  <c r="G264" i="3"/>
  <c r="H262" i="3"/>
  <c r="I262" i="3"/>
  <c r="F262" i="3"/>
  <c r="G262" i="3"/>
  <c r="H261" i="3"/>
  <c r="I261" i="3"/>
  <c r="F261" i="3"/>
  <c r="G261" i="3"/>
  <c r="H259" i="3"/>
  <c r="I259" i="3"/>
  <c r="F259" i="3"/>
  <c r="G259" i="3"/>
  <c r="H258" i="3"/>
  <c r="I258" i="3"/>
  <c r="F258" i="3"/>
  <c r="G258" i="3"/>
  <c r="H257" i="3"/>
  <c r="I257" i="3"/>
  <c r="F257" i="3"/>
  <c r="G257" i="3"/>
  <c r="I252" i="3"/>
  <c r="G252" i="3"/>
  <c r="I249" i="3"/>
  <c r="F249" i="3"/>
  <c r="G249" i="3"/>
  <c r="I248" i="3"/>
  <c r="G248" i="3"/>
  <c r="I246" i="3"/>
  <c r="F246" i="3"/>
  <c r="G246" i="3"/>
  <c r="I245" i="3"/>
  <c r="G245" i="3"/>
  <c r="I243" i="3"/>
  <c r="F243" i="3"/>
  <c r="G243" i="3"/>
  <c r="I242" i="3"/>
  <c r="G242" i="3"/>
  <c r="I240" i="3"/>
  <c r="F240" i="3"/>
  <c r="G240" i="3"/>
  <c r="I239" i="3"/>
  <c r="G239" i="3"/>
  <c r="I233" i="3"/>
  <c r="G233" i="3"/>
  <c r="I231" i="3"/>
  <c r="H231" i="3"/>
  <c r="G231" i="3"/>
  <c r="F231" i="3"/>
  <c r="H230" i="3"/>
  <c r="I230" i="3"/>
  <c r="F230" i="3"/>
  <c r="G230" i="3"/>
  <c r="H229" i="3"/>
  <c r="I229" i="3"/>
  <c r="F229" i="3"/>
  <c r="G229" i="3"/>
  <c r="H228" i="3"/>
  <c r="I228" i="3"/>
  <c r="F228" i="3"/>
  <c r="G228" i="3"/>
  <c r="H226" i="3"/>
  <c r="I226" i="3"/>
  <c r="F226" i="3"/>
  <c r="G226" i="3"/>
  <c r="H224" i="3"/>
  <c r="I224" i="3"/>
  <c r="F224" i="3"/>
  <c r="G224" i="3"/>
  <c r="H223" i="3"/>
  <c r="I223" i="3"/>
  <c r="F223" i="3"/>
  <c r="G223" i="3"/>
  <c r="H222" i="3"/>
  <c r="I222" i="3"/>
  <c r="F222" i="3"/>
  <c r="G222" i="3"/>
  <c r="H220" i="3"/>
  <c r="I220" i="3"/>
  <c r="F220" i="3"/>
  <c r="G220" i="3"/>
  <c r="H218" i="3"/>
  <c r="I218" i="3"/>
  <c r="F218" i="3"/>
  <c r="G218" i="3"/>
  <c r="H217" i="3"/>
  <c r="I217" i="3"/>
  <c r="F217" i="3"/>
  <c r="G217" i="3"/>
  <c r="H216" i="3"/>
  <c r="I216" i="3"/>
  <c r="F216" i="3"/>
  <c r="G216" i="3"/>
  <c r="H214" i="3"/>
  <c r="I214" i="3"/>
  <c r="F214" i="3"/>
  <c r="G214" i="3"/>
  <c r="H212" i="3"/>
  <c r="I212" i="3"/>
  <c r="F212" i="3"/>
  <c r="G212" i="3"/>
  <c r="H211" i="3"/>
  <c r="I211" i="3"/>
  <c r="F211" i="3"/>
  <c r="G211" i="3"/>
  <c r="H210" i="3"/>
  <c r="I210" i="3"/>
  <c r="F210" i="3"/>
  <c r="G210" i="3"/>
  <c r="H208" i="3"/>
  <c r="I208" i="3"/>
  <c r="F208" i="3"/>
  <c r="G208" i="3"/>
  <c r="H206" i="3"/>
  <c r="I206" i="3"/>
  <c r="F206" i="3"/>
  <c r="G206" i="3"/>
  <c r="H205" i="3"/>
  <c r="I205" i="3"/>
  <c r="F205" i="3"/>
  <c r="G205" i="3"/>
  <c r="H204" i="3"/>
  <c r="I204" i="3"/>
  <c r="F204" i="3"/>
  <c r="G204" i="3"/>
  <c r="H202" i="3"/>
  <c r="I202" i="3"/>
  <c r="F202" i="3"/>
  <c r="G202" i="3"/>
  <c r="H199" i="3"/>
  <c r="I199" i="3"/>
  <c r="F199" i="3"/>
  <c r="G199" i="3"/>
  <c r="H198" i="3"/>
  <c r="I198" i="3"/>
  <c r="F198" i="3"/>
  <c r="G198" i="3"/>
  <c r="H197" i="3"/>
  <c r="I197" i="3"/>
  <c r="F197" i="3"/>
  <c r="G197" i="3"/>
  <c r="H195" i="3"/>
  <c r="I195" i="3"/>
  <c r="F195" i="3"/>
  <c r="G195" i="3"/>
  <c r="H194" i="3"/>
  <c r="I194" i="3"/>
  <c r="F194" i="3"/>
  <c r="G194" i="3"/>
  <c r="H192" i="3"/>
  <c r="I192" i="3"/>
  <c r="F192" i="3"/>
  <c r="G192" i="3"/>
  <c r="H191" i="3"/>
  <c r="I191" i="3"/>
  <c r="F191" i="3"/>
  <c r="G191" i="3"/>
  <c r="H190" i="3"/>
  <c r="I190" i="3"/>
  <c r="F190" i="3"/>
  <c r="G190" i="3"/>
  <c r="H186" i="3"/>
  <c r="I186" i="3"/>
  <c r="F186" i="3"/>
  <c r="G186" i="3"/>
  <c r="I184" i="3"/>
  <c r="G184" i="3"/>
  <c r="H183" i="3"/>
  <c r="I183" i="3"/>
  <c r="F183" i="3"/>
  <c r="G183" i="3"/>
  <c r="H182" i="3"/>
  <c r="I182" i="3"/>
  <c r="F182" i="3"/>
  <c r="G182" i="3"/>
  <c r="H180" i="3"/>
  <c r="I180" i="3"/>
  <c r="F180" i="3"/>
  <c r="G180" i="3"/>
  <c r="H179" i="3"/>
  <c r="I179" i="3"/>
  <c r="F179" i="3"/>
  <c r="G179" i="3"/>
  <c r="H177" i="3"/>
  <c r="I177" i="3"/>
  <c r="F177" i="3"/>
  <c r="G177" i="3"/>
  <c r="H176" i="3"/>
  <c r="I176" i="3"/>
  <c r="F176" i="3"/>
  <c r="G176" i="3"/>
  <c r="H174" i="3"/>
  <c r="I174" i="3"/>
  <c r="F174" i="3"/>
  <c r="G174" i="3"/>
  <c r="H173" i="3"/>
  <c r="I173" i="3"/>
  <c r="F173" i="3"/>
  <c r="G173" i="3"/>
  <c r="H171" i="3"/>
  <c r="I171" i="3"/>
  <c r="F171" i="3"/>
  <c r="G171" i="3"/>
  <c r="H170" i="3"/>
  <c r="I170" i="3"/>
  <c r="F170" i="3"/>
  <c r="G170" i="3"/>
  <c r="H169" i="3"/>
  <c r="I169" i="3"/>
  <c r="F169" i="3"/>
  <c r="G169" i="3"/>
  <c r="I167" i="3"/>
  <c r="F167" i="3"/>
  <c r="G167" i="3"/>
  <c r="I163" i="3"/>
  <c r="G163" i="3"/>
  <c r="I162" i="3"/>
  <c r="G162" i="3"/>
  <c r="H160" i="3"/>
  <c r="I160" i="3"/>
  <c r="F160" i="3"/>
  <c r="G160" i="3"/>
  <c r="H159" i="3"/>
  <c r="I159" i="3"/>
  <c r="F159" i="3"/>
  <c r="G159" i="3"/>
  <c r="H157" i="3"/>
  <c r="I157" i="3"/>
  <c r="F157" i="3"/>
  <c r="G157" i="3"/>
  <c r="H156" i="3"/>
  <c r="I156" i="3"/>
  <c r="F156" i="3"/>
  <c r="G156" i="3"/>
  <c r="H154" i="3"/>
  <c r="I154" i="3"/>
  <c r="F154" i="3"/>
  <c r="G154" i="3"/>
  <c r="H153" i="3"/>
  <c r="I153" i="3"/>
  <c r="F153" i="3"/>
  <c r="G153" i="3"/>
  <c r="H151" i="3"/>
  <c r="I151" i="3"/>
  <c r="F151" i="3"/>
  <c r="G151" i="3"/>
  <c r="H150" i="3"/>
  <c r="I150" i="3"/>
  <c r="F150" i="3"/>
  <c r="G150" i="3"/>
  <c r="H147" i="3"/>
  <c r="I147" i="3"/>
  <c r="F147" i="3"/>
  <c r="G147" i="3"/>
  <c r="H146" i="3"/>
  <c r="I146" i="3"/>
  <c r="F146" i="3"/>
  <c r="G146" i="3"/>
  <c r="H145" i="3"/>
  <c r="I145" i="3"/>
  <c r="F145" i="3"/>
  <c r="G145" i="3"/>
  <c r="H143" i="3"/>
  <c r="I143" i="3"/>
  <c r="F143" i="3"/>
  <c r="G143" i="3"/>
  <c r="H142" i="3"/>
  <c r="I142" i="3"/>
  <c r="F142" i="3"/>
  <c r="G142" i="3"/>
  <c r="H141" i="3"/>
  <c r="I141" i="3"/>
  <c r="F141" i="3"/>
  <c r="G141" i="3"/>
  <c r="H139" i="3"/>
  <c r="I139" i="3"/>
  <c r="F139" i="3"/>
  <c r="G139" i="3"/>
  <c r="I137" i="3"/>
  <c r="G137" i="3"/>
  <c r="H136" i="3"/>
  <c r="I136" i="3"/>
  <c r="F136" i="3"/>
  <c r="G136" i="3"/>
  <c r="H135" i="3"/>
  <c r="I135" i="3"/>
  <c r="F135" i="3"/>
  <c r="G135" i="3"/>
  <c r="I131" i="3"/>
  <c r="G131" i="3"/>
  <c r="H130" i="3"/>
  <c r="I130" i="3"/>
  <c r="F130" i="3"/>
  <c r="G130" i="3"/>
  <c r="H129" i="3"/>
  <c r="I129" i="3"/>
  <c r="F129" i="3"/>
  <c r="G129" i="3"/>
  <c r="H127" i="3"/>
  <c r="I127" i="3"/>
  <c r="F127" i="3"/>
  <c r="G127" i="3"/>
  <c r="H126" i="3"/>
  <c r="I126" i="3"/>
  <c r="F126" i="3"/>
  <c r="G126" i="3"/>
  <c r="H124" i="3"/>
  <c r="I124" i="3"/>
  <c r="F124" i="3"/>
  <c r="G124" i="3"/>
  <c r="H123" i="3"/>
  <c r="I123" i="3"/>
  <c r="F123" i="3"/>
  <c r="G123" i="3"/>
  <c r="I121" i="3"/>
  <c r="G121" i="3"/>
  <c r="I120" i="3"/>
  <c r="G120" i="3"/>
  <c r="I119" i="3"/>
  <c r="G119" i="3"/>
  <c r="H118" i="3"/>
  <c r="I118" i="3"/>
  <c r="F118" i="3"/>
  <c r="G118" i="3"/>
  <c r="H117" i="3"/>
  <c r="I117" i="3"/>
  <c r="F117" i="3"/>
  <c r="G117" i="3"/>
  <c r="H116" i="3"/>
  <c r="I116" i="3"/>
  <c r="F116" i="3"/>
  <c r="G116" i="3"/>
  <c r="H113" i="3"/>
  <c r="I113" i="3"/>
  <c r="F113" i="3"/>
  <c r="G113" i="3"/>
  <c r="H112" i="3"/>
  <c r="I112" i="3"/>
  <c r="F112" i="3"/>
  <c r="G112" i="3"/>
  <c r="H111" i="3"/>
  <c r="I111" i="3"/>
  <c r="F111" i="3"/>
  <c r="G111" i="3"/>
  <c r="I109" i="3"/>
  <c r="F109" i="3"/>
  <c r="G109" i="3"/>
  <c r="I105" i="3"/>
  <c r="G105" i="3"/>
  <c r="H103" i="3"/>
  <c r="I103" i="3"/>
  <c r="F103" i="3"/>
  <c r="G103" i="3"/>
  <c r="I102" i="3"/>
  <c r="G102" i="3"/>
  <c r="I101" i="3"/>
  <c r="G101" i="3"/>
  <c r="H100" i="3"/>
  <c r="I100" i="3"/>
  <c r="F100" i="3"/>
  <c r="G100" i="3"/>
  <c r="H99" i="3"/>
  <c r="I99" i="3"/>
  <c r="F99" i="3"/>
  <c r="G99" i="3"/>
  <c r="H97" i="3"/>
  <c r="I97" i="3"/>
  <c r="F97" i="3"/>
  <c r="G97" i="3"/>
  <c r="H96" i="3"/>
  <c r="I96" i="3"/>
  <c r="F96" i="3"/>
  <c r="G96" i="3"/>
  <c r="I94" i="3"/>
  <c r="G94" i="3"/>
  <c r="H93" i="3"/>
  <c r="I93" i="3"/>
  <c r="F93" i="3"/>
  <c r="G93" i="3"/>
  <c r="H92" i="3"/>
  <c r="I92" i="3"/>
  <c r="F92" i="3"/>
  <c r="G92" i="3"/>
  <c r="H90" i="3"/>
  <c r="I90" i="3"/>
  <c r="F90" i="3"/>
  <c r="G90" i="3"/>
  <c r="H89" i="3"/>
  <c r="I89" i="3"/>
  <c r="F89" i="3"/>
  <c r="G89" i="3"/>
  <c r="H87" i="3"/>
  <c r="I87" i="3"/>
  <c r="F87" i="3"/>
  <c r="G87" i="3"/>
  <c r="H86" i="3"/>
  <c r="I86" i="3"/>
  <c r="F86" i="3"/>
  <c r="G86" i="3"/>
  <c r="H84" i="3"/>
  <c r="I84" i="3"/>
  <c r="F84" i="3"/>
  <c r="G84" i="3"/>
  <c r="H83" i="3"/>
  <c r="I83" i="3"/>
  <c r="F83" i="3"/>
  <c r="G83" i="3"/>
  <c r="H81" i="3"/>
  <c r="I81" i="3"/>
  <c r="F81" i="3"/>
  <c r="G81" i="3"/>
  <c r="H80" i="3"/>
  <c r="I80" i="3"/>
  <c r="F80" i="3"/>
  <c r="G80" i="3"/>
  <c r="H79" i="3"/>
  <c r="I79" i="3"/>
  <c r="F79" i="3"/>
  <c r="G79" i="3"/>
  <c r="H77" i="3"/>
  <c r="I77" i="3"/>
  <c r="F77" i="3"/>
  <c r="G77" i="3"/>
  <c r="I73" i="3"/>
  <c r="G73" i="3"/>
  <c r="I71" i="3"/>
  <c r="H71" i="3"/>
  <c r="G71" i="3"/>
  <c r="F71" i="3"/>
  <c r="H70" i="3"/>
  <c r="I70" i="3"/>
  <c r="F70" i="3"/>
  <c r="G70" i="3"/>
  <c r="H69" i="3"/>
  <c r="I69" i="3"/>
  <c r="F69" i="3"/>
  <c r="G69" i="3"/>
  <c r="H67" i="3"/>
  <c r="I67" i="3"/>
  <c r="F67" i="3"/>
  <c r="G67" i="3"/>
  <c r="H66" i="3"/>
  <c r="I66" i="3"/>
  <c r="F66" i="3"/>
  <c r="G66" i="3"/>
  <c r="H63" i="3"/>
  <c r="I63" i="3"/>
  <c r="F63" i="3"/>
  <c r="G63" i="3"/>
  <c r="H62" i="3"/>
  <c r="I62" i="3"/>
  <c r="F62" i="3"/>
  <c r="G62" i="3"/>
  <c r="H60" i="3"/>
  <c r="I60" i="3"/>
  <c r="F60" i="3"/>
  <c r="G60" i="3"/>
  <c r="H59" i="3"/>
  <c r="I59" i="3"/>
  <c r="F59" i="3"/>
  <c r="G59" i="3"/>
  <c r="H56" i="3"/>
  <c r="I56" i="3"/>
  <c r="F56" i="3"/>
  <c r="G56" i="3"/>
  <c r="H55" i="3"/>
  <c r="I55" i="3"/>
  <c r="F55" i="3"/>
  <c r="G55" i="3"/>
  <c r="H53" i="3"/>
  <c r="I53" i="3"/>
  <c r="F53" i="3"/>
  <c r="G53" i="3"/>
  <c r="H52" i="3"/>
  <c r="I52" i="3"/>
  <c r="F52" i="3"/>
  <c r="G52" i="3"/>
  <c r="H49" i="3"/>
  <c r="I49" i="3"/>
  <c r="F49" i="3"/>
  <c r="G49" i="3"/>
  <c r="H48" i="3"/>
  <c r="I48" i="3"/>
  <c r="F48" i="3"/>
  <c r="G48" i="3"/>
  <c r="H46" i="3"/>
  <c r="I46" i="3"/>
  <c r="F46" i="3"/>
  <c r="G46" i="3"/>
  <c r="H45" i="3"/>
  <c r="I45" i="3"/>
  <c r="F45" i="3"/>
  <c r="G45" i="3"/>
  <c r="H41" i="3"/>
  <c r="I41" i="3"/>
  <c r="F41" i="3"/>
  <c r="G41" i="3"/>
  <c r="H40" i="3"/>
  <c r="I40" i="3"/>
  <c r="F40" i="3"/>
  <c r="G40" i="3"/>
  <c r="H39" i="3"/>
  <c r="I39" i="3"/>
  <c r="F39" i="3"/>
  <c r="G39" i="3"/>
  <c r="H37" i="3"/>
  <c r="I37" i="3"/>
  <c r="F37" i="3"/>
  <c r="G37" i="3"/>
  <c r="H36" i="3"/>
  <c r="I36" i="3"/>
  <c r="F36" i="3"/>
  <c r="G36" i="3"/>
  <c r="H34" i="3"/>
  <c r="I34" i="3"/>
  <c r="F34" i="3"/>
  <c r="G34" i="3"/>
  <c r="H33" i="3"/>
  <c r="I33" i="3"/>
  <c r="F33" i="3"/>
  <c r="G33" i="3"/>
  <c r="H32" i="3"/>
  <c r="I32" i="3"/>
  <c r="F32" i="3"/>
  <c r="G32" i="3"/>
  <c r="H27" i="3"/>
  <c r="I27" i="3"/>
  <c r="F27" i="3"/>
  <c r="G27" i="3"/>
  <c r="I25" i="3"/>
  <c r="G25" i="3"/>
  <c r="H24" i="3"/>
  <c r="I24" i="3"/>
  <c r="F24" i="3"/>
  <c r="G24" i="3"/>
  <c r="H23" i="3"/>
  <c r="I23" i="3"/>
  <c r="F23" i="3"/>
  <c r="G23" i="3"/>
  <c r="H21" i="3"/>
  <c r="I21" i="3"/>
  <c r="F21" i="3"/>
  <c r="G21" i="3"/>
  <c r="H20" i="3"/>
  <c r="I20" i="3"/>
  <c r="F20" i="3"/>
  <c r="G20" i="3"/>
  <c r="H18" i="3"/>
  <c r="I18" i="3"/>
  <c r="F18" i="3"/>
  <c r="G18" i="3"/>
  <c r="H17" i="3"/>
  <c r="I17" i="3"/>
  <c r="F17" i="3"/>
  <c r="G17" i="3"/>
  <c r="H15" i="3"/>
  <c r="I15" i="3"/>
  <c r="F15" i="3"/>
  <c r="G15" i="3"/>
  <c r="H14" i="3"/>
  <c r="I14" i="3"/>
  <c r="F14" i="3"/>
  <c r="G14" i="3"/>
  <c r="H12" i="3"/>
  <c r="I12" i="3"/>
  <c r="F12" i="3"/>
  <c r="G12" i="3"/>
  <c r="H11" i="3"/>
  <c r="I11" i="3"/>
  <c r="F11" i="3"/>
  <c r="G11" i="3"/>
  <c r="H10" i="3"/>
  <c r="I10" i="3"/>
  <c r="F10" i="3"/>
  <c r="G10" i="3"/>
  <c r="I8" i="3"/>
  <c r="G8" i="3"/>
  <c r="I365" i="3"/>
  <c r="G74" i="3"/>
  <c r="G365" i="3"/>
  <c r="G366" i="3"/>
  <c r="I74" i="3"/>
  <c r="G250" i="3"/>
  <c r="I250" i="3"/>
  <c r="I312" i="3"/>
  <c r="G234" i="3"/>
  <c r="I106" i="3"/>
  <c r="G164" i="3"/>
  <c r="I164" i="3"/>
  <c r="I234" i="3"/>
  <c r="G312" i="3"/>
  <c r="C418" i="3"/>
  <c r="I366" i="3"/>
  <c r="G106" i="3"/>
  <c r="G313" i="3"/>
  <c r="G314" i="3"/>
  <c r="G367" i="3"/>
  <c r="G368" i="3"/>
  <c r="C417" i="3"/>
  <c r="I313" i="3"/>
  <c r="I314" i="3"/>
  <c r="I251" i="3"/>
  <c r="I253" i="3"/>
  <c r="I316" i="3"/>
  <c r="G251" i="3"/>
  <c r="G253" i="3"/>
  <c r="I367" i="3"/>
  <c r="I368" i="3"/>
  <c r="D417" i="3"/>
  <c r="G316" i="3"/>
  <c r="G317" i="3"/>
  <c r="G318" i="3"/>
  <c r="C416" i="3"/>
  <c r="C419" i="3"/>
  <c r="I317" i="3"/>
  <c r="I318" i="3"/>
  <c r="D416" i="3"/>
  <c r="D419" i="3"/>
  <c r="C420" i="3"/>
  <c r="C421" i="3"/>
  <c r="D420" i="3"/>
  <c r="D421" i="3"/>
</calcChain>
</file>

<file path=xl/comments1.xml><?xml version="1.0" encoding="utf-8"?>
<comments xmlns="http://schemas.openxmlformats.org/spreadsheetml/2006/main">
  <authors>
    <author>Zaidi Mat Rifin</author>
  </authors>
  <commentList>
    <comment ref="D46" authorId="0">
      <text>
        <r>
          <rPr>
            <b/>
            <sz val="9"/>
            <color indexed="81"/>
            <rFont val="Tahoma"/>
            <family val="2"/>
          </rPr>
          <t>Zaidi Mat Rifin:</t>
        </r>
        <r>
          <rPr>
            <sz val="9"/>
            <color indexed="81"/>
            <rFont val="Tahoma"/>
            <family val="2"/>
          </rPr>
          <t xml:space="preserve">
</t>
        </r>
      </text>
    </comment>
  </commentList>
</comments>
</file>

<file path=xl/comments2.xml><?xml version="1.0" encoding="utf-8"?>
<comments xmlns="http://schemas.openxmlformats.org/spreadsheetml/2006/main">
  <authors>
    <author>Zaidi Mat Rifin</author>
  </authors>
  <commentList>
    <comment ref="D46" authorId="0">
      <text>
        <r>
          <rPr>
            <b/>
            <sz val="9"/>
            <color indexed="81"/>
            <rFont val="Tahoma"/>
            <family val="2"/>
          </rPr>
          <t>Zaidi Mat Rifin:</t>
        </r>
        <r>
          <rPr>
            <sz val="9"/>
            <color indexed="81"/>
            <rFont val="Tahoma"/>
            <family val="2"/>
          </rPr>
          <t xml:space="preserve">
</t>
        </r>
      </text>
    </comment>
  </commentList>
</comments>
</file>

<file path=xl/sharedStrings.xml><?xml version="1.0" encoding="utf-8"?>
<sst xmlns="http://schemas.openxmlformats.org/spreadsheetml/2006/main" count="2291" uniqueCount="604">
  <si>
    <t>STAGE 1</t>
  </si>
  <si>
    <t>ITEM</t>
  </si>
  <si>
    <t>DESCRIPTION OF WORKS</t>
  </si>
  <si>
    <t>REFERENCE</t>
  </si>
  <si>
    <t>QTY</t>
  </si>
  <si>
    <t>UNIT</t>
  </si>
  <si>
    <t>RATE</t>
  </si>
  <si>
    <t>AMOUNT</t>
  </si>
  <si>
    <t>NO.</t>
  </si>
  <si>
    <t>TREASURY RATE</t>
  </si>
  <si>
    <t>(RM)</t>
  </si>
  <si>
    <t>PREPARATORY WORK</t>
  </si>
  <si>
    <t>PD</t>
  </si>
  <si>
    <t>MOBILIZATION &amp; DEMOBILIZATION</t>
  </si>
  <si>
    <t>a. More than 50km but not exceeding 150km</t>
  </si>
  <si>
    <t>GPS OBSERVATION</t>
  </si>
  <si>
    <t>1.4.1</t>
  </si>
  <si>
    <t>1.4.2</t>
  </si>
  <si>
    <t>1.4.3</t>
  </si>
  <si>
    <t>1.7.1</t>
  </si>
  <si>
    <t>1.7.1; 1.7.2</t>
  </si>
  <si>
    <t>PLANIMETRIC CONTROL &amp; CONNECTION</t>
  </si>
  <si>
    <t>1.5.1</t>
  </si>
  <si>
    <t>HEIGHT CONTROL AND CONNECTIONS</t>
  </si>
  <si>
    <t>1.6.2</t>
  </si>
  <si>
    <t xml:space="preserve">STRIP SURVEYS (To produce 2m contour) </t>
  </si>
  <si>
    <t>4.6;1,8</t>
  </si>
  <si>
    <t>BRIDGE SITE SURVEY</t>
  </si>
  <si>
    <t>3.10.2.1</t>
  </si>
  <si>
    <t>3.10.2.2</t>
  </si>
  <si>
    <t>4.16; 1.12</t>
  </si>
  <si>
    <t>TOTAL COST OF STAGE 1</t>
  </si>
  <si>
    <t xml:space="preserve">MOBILIZATION &amp; DEMOBILIZATION </t>
  </si>
  <si>
    <t>a. More than 50 km but not exceeding 150 km</t>
  </si>
  <si>
    <t>1.3.0</t>
  </si>
  <si>
    <t>b. More than 150km but not exceeding 300km</t>
  </si>
  <si>
    <t xml:space="preserve">SETTING OUT RESERVE BOUNDARIES </t>
  </si>
  <si>
    <t>1.5.1; 4.1.4(iv)</t>
  </si>
  <si>
    <t>a. Preparatory work</t>
  </si>
  <si>
    <t>b. Time involved for search at Land Office and PTG</t>
  </si>
  <si>
    <t>1.11.3; 1.10.3.4</t>
  </si>
  <si>
    <t>c. Computation and plan drawing</t>
  </si>
  <si>
    <t>1.11.4</t>
  </si>
  <si>
    <t>SURVEY FOR SI BORE HOLES</t>
  </si>
  <si>
    <t>b. Transfer X,Y,Z Values of Borehole Positions</t>
  </si>
  <si>
    <t>1.5.1 &amp; 1.6.2</t>
  </si>
  <si>
    <t>TOTAL COST OF STAGE 2</t>
  </si>
  <si>
    <t>REIMBURSIBLES</t>
  </si>
  <si>
    <t>1.10.1.1</t>
  </si>
  <si>
    <t>1.10.1.4</t>
  </si>
  <si>
    <t>i. Transport charges</t>
  </si>
  <si>
    <t>ii. Accommodation</t>
  </si>
  <si>
    <t>(XX set JKPTG + 1 set JKR Record)</t>
  </si>
  <si>
    <t>TOTAL COST FOR REIMBURSIBLES</t>
  </si>
  <si>
    <t>COST SUMMARY</t>
  </si>
  <si>
    <t>Reimbursible</t>
  </si>
  <si>
    <t>Total Cost</t>
  </si>
  <si>
    <t>GRAND TOTAL</t>
  </si>
  <si>
    <t>lot</t>
  </si>
  <si>
    <t>mark</t>
  </si>
  <si>
    <t>nos</t>
  </si>
  <si>
    <t>sheet</t>
  </si>
  <si>
    <t>actual</t>
  </si>
  <si>
    <t>1.10.1.2</t>
  </si>
  <si>
    <t>1.10.1.3</t>
  </si>
  <si>
    <t>1.10.1.5</t>
  </si>
  <si>
    <t>TOTAL</t>
  </si>
  <si>
    <t>4.10.1</t>
  </si>
  <si>
    <t>PRELIMINARY SETTING OUT @ 20m interval</t>
  </si>
  <si>
    <t>km</t>
  </si>
  <si>
    <t>FINAL SETTING OUT CENTRELINE @ 20m interval</t>
  </si>
  <si>
    <t>STAGE 2</t>
  </si>
  <si>
    <t>6%Service Tax</t>
  </si>
  <si>
    <t>Stage 1- Preliminary Survey</t>
  </si>
  <si>
    <t>Stage 2 - Setting Out reserve etc</t>
  </si>
  <si>
    <t>per hour</t>
  </si>
  <si>
    <t>4.10.2</t>
  </si>
  <si>
    <t>ANGGARAN KOS PERKHIDMATAN PERUNDING (UKUR TANAH)</t>
  </si>
  <si>
    <t>1.4.4</t>
  </si>
  <si>
    <t>2.10.1</t>
  </si>
  <si>
    <t>Contour and Detail</t>
  </si>
  <si>
    <t>2.10.2</t>
  </si>
  <si>
    <t>3.10.1</t>
  </si>
  <si>
    <t>3.10.2</t>
  </si>
  <si>
    <t>Hilly area</t>
  </si>
  <si>
    <t>4.11.2</t>
  </si>
  <si>
    <t>ENGINEERING SURVEY FOR DRAINAGE AND IRRIGATION</t>
  </si>
  <si>
    <t>7.9.1</t>
  </si>
  <si>
    <t>7.9.2</t>
  </si>
  <si>
    <t>Grid Survey</t>
  </si>
  <si>
    <t>ENGINEERING SURVEY FOR AERIAL MAPPING</t>
  </si>
  <si>
    <t>Compilation Fee</t>
  </si>
  <si>
    <t>14.8.1</t>
  </si>
  <si>
    <t>14.8.4</t>
  </si>
  <si>
    <t>14.8.5</t>
  </si>
  <si>
    <t>14.9.2</t>
  </si>
  <si>
    <t>14.10.1</t>
  </si>
  <si>
    <t>14.10.2</t>
  </si>
  <si>
    <t>14.11.1</t>
  </si>
  <si>
    <t>Self Recording</t>
  </si>
  <si>
    <t>14.11.2</t>
  </si>
  <si>
    <t>Direct Reading</t>
  </si>
  <si>
    <t>Installation</t>
  </si>
  <si>
    <t>hour</t>
  </si>
  <si>
    <t>1.14.3</t>
  </si>
  <si>
    <t>1.14.2</t>
  </si>
  <si>
    <t>day</t>
  </si>
  <si>
    <t>1.8.1</t>
  </si>
  <si>
    <t>1.8.2</t>
  </si>
  <si>
    <t>1.8.3</t>
  </si>
  <si>
    <t>Printing Of Section 8 LA Plan for submission to authority - XX sheet  x XX sets</t>
  </si>
  <si>
    <t>c. Exceeding 300km</t>
  </si>
  <si>
    <t>i. Security pass or permit has to be obtained</t>
  </si>
  <si>
    <t>i. Depth of water less than 1m</t>
  </si>
  <si>
    <t>ii. Depth of water greater than 1m</t>
  </si>
  <si>
    <t xml:space="preserve">b. Boat rental </t>
  </si>
  <si>
    <t>iii. Exceeding 300km</t>
  </si>
  <si>
    <t>Flat &amp; Undulating area</t>
  </si>
  <si>
    <t>Preparation of Land Acquistion Plans</t>
  </si>
  <si>
    <t>ha</t>
  </si>
  <si>
    <t>Underground Utilities Mapping</t>
  </si>
  <si>
    <t>Swampy</t>
  </si>
  <si>
    <t xml:space="preserve">a. Mobilization </t>
  </si>
  <si>
    <t>i. More than 50km but not exceeding 150km</t>
  </si>
  <si>
    <t>ii. More than 150 km but not exceeding 300km</t>
  </si>
  <si>
    <t>b. Basic Charge</t>
  </si>
  <si>
    <t xml:space="preserve">c. Point Positioning </t>
  </si>
  <si>
    <t>ii. Inaccessible</t>
  </si>
  <si>
    <t>e. Transformation of Coordinates</t>
  </si>
  <si>
    <t>d. Monumenting (pipe in concrete)</t>
  </si>
  <si>
    <t>i. Accessible</t>
  </si>
  <si>
    <t>Flat &amp; Undulating area / Built up area</t>
  </si>
  <si>
    <t>a. Flat &amp; undulating area</t>
  </si>
  <si>
    <t>b. Hilly area/ Swampy area/ Built up area</t>
  </si>
  <si>
    <t>b. Hilly area/ Swampy area/ Built up area (ordinary)</t>
  </si>
  <si>
    <t>a. Flat &amp; undulating area (ordinary)</t>
  </si>
  <si>
    <t>Swampy area/ Built up area</t>
  </si>
  <si>
    <r>
      <t>m</t>
    </r>
    <r>
      <rPr>
        <vertAlign val="superscript"/>
        <sz val="10"/>
        <rFont val="Arial"/>
        <family val="2"/>
      </rPr>
      <t>2</t>
    </r>
  </si>
  <si>
    <t>a. i. Developed area/ Flat &amp; Undulating area</t>
  </si>
  <si>
    <t>a. ii. Built up area/ Undeveloped area/ Hilly area</t>
  </si>
  <si>
    <t>a. iii. Swampy area</t>
  </si>
  <si>
    <t>ii. Armed escort is required and working hours are dictated by relevant authority</t>
  </si>
  <si>
    <t>iii. When there is a waiting time after mobilization</t>
  </si>
  <si>
    <t xml:space="preserve">b. Survey in security area
</t>
  </si>
  <si>
    <t>a. For Reserve less than 60m</t>
  </si>
  <si>
    <t>ii. Hilly area/ Swampy area /Built up area</t>
  </si>
  <si>
    <t>i. Flat &amp; undulating area</t>
  </si>
  <si>
    <t>b. For reserve more than 60m</t>
  </si>
  <si>
    <t>ii. Hilly area / Swampy area / Built up area</t>
  </si>
  <si>
    <t>Hilly area/ Swampy area/ Built up area</t>
  </si>
  <si>
    <t>a. Mobilization and Demobilization (if required)</t>
  </si>
  <si>
    <t>ii.More than 150km but not exceeding 300km</t>
  </si>
  <si>
    <t>meeting</t>
  </si>
  <si>
    <t>per day</t>
  </si>
  <si>
    <t>a. i. Purchase of Cadastral Digital Data (JUPEM)</t>
  </si>
  <si>
    <t>a. ii.  Purchase of Certified Plans (JUPEM)</t>
  </si>
  <si>
    <t xml:space="preserve">b. Cabutan Hak milik/ Carian Rasmi </t>
  </si>
  <si>
    <t>i. Land Office base on actual receipt</t>
  </si>
  <si>
    <t>ii. Registry Titles PTG base on actual receipt</t>
  </si>
  <si>
    <t>c. Attending weekly Progress meeting and Site meeting</t>
  </si>
  <si>
    <t>a. ii. Purchase of Certified Plans (JUPEM)</t>
  </si>
  <si>
    <t>4.10</t>
  </si>
  <si>
    <t>a. Mobilization and Demobilization of boat</t>
  </si>
  <si>
    <t>- Iaitu panjang jajaran projek x lebar koridor ukur</t>
  </si>
  <si>
    <t>- Anggapan jurukur biasanya 30km/day/river (lapang dan tiada halangan di dalam sungai)
- Bergantung juga pada cuaca dan keadaan sungai</t>
  </si>
  <si>
    <t>- Panjang jajaran projek</t>
  </si>
  <si>
    <t>- Anggaran bilangan lot boleh diperolehi dari website Ebiz JUPEM/Unit GIS JKR
- Anggaran kos Bilangan Lot = RM200/lot
- Anggaran kos Carian Rasmi = RM150
- Anggaran kos Salinan Sah Hak Milik = RM200</t>
  </si>
  <si>
    <t>- Untuk Ukur Halus (Hak Milik Baru)</t>
  </si>
  <si>
    <t>- CTK JKR juga perlu merujuk kepada 1.10.1.4
- Title
- Carian rasmi
- Carian persendirian
- Pewartaan
- Salinan sah hak milik 
- Paling lama 1 lot 5 jam
- Paling cepat 1 lot 30 minit
- Jadi, ambil 5 jam/lot</t>
  </si>
  <si>
    <t>4.14; 4.10</t>
  </si>
  <si>
    <t>- CTK JKR juga perlu merujuk kepada 1.11.1</t>
  </si>
  <si>
    <t xml:space="preserve">- Perlu jika ada lapse (lebih 3 bulan tempoh sah )
</t>
  </si>
  <si>
    <t>PROCESSING,CONVERSION &amp; TRANSLATION DIGITAL DATA IN MOSS GENIO /3D AUTOCAD</t>
  </si>
  <si>
    <t>PROCESSING,CONVERSION &amp; TRANS DIGITAL DATA IN MOSS GENIO /3D AUTOCAD</t>
  </si>
  <si>
    <t>- Persediaan masuk ke tapak (bilangan team, resouces, peralatan, method / kaedah kerja dll yang berkaitan)</t>
  </si>
  <si>
    <t>- Kadar harga yang disyorkan oleh CKIP</t>
  </si>
  <si>
    <t xml:space="preserve"> - Keperluan bagi setiap projek adalah 1 no
</t>
  </si>
  <si>
    <t>iii. Subsistence allowance</t>
  </si>
  <si>
    <t>- Survey for SI Bore Holes tidak terdapat pada CTK JKR</t>
  </si>
  <si>
    <t>- Untuk ukur halus</t>
  </si>
  <si>
    <t>PENINSULAR MALAYSIA</t>
  </si>
  <si>
    <t>SABAH/SARAWAK</t>
  </si>
  <si>
    <t xml:space="preserve">- RM2.00@RM2.60/m x 1000m (peninsular) 
</t>
  </si>
  <si>
    <t xml:space="preserve">- RM2.50@RM3.25/m x 1000m (peninsular) 
</t>
  </si>
  <si>
    <t>- RM743.00@RM966.00/1km</t>
  </si>
  <si>
    <t>- RM743.00@RM966.00 x 2.75 PD/km
- Panjang jajaran projek</t>
  </si>
  <si>
    <t>- RM743.00@RM966.00 x 4.75 PD/km</t>
  </si>
  <si>
    <t>- RM743.00@RM966.00 x 4.25 PD/km</t>
  </si>
  <si>
    <t>- RM743.00@RM966.00/2.00 ha/PD</t>
  </si>
  <si>
    <t>- RM743.00@RM966.00/1.50 ha/PD</t>
  </si>
  <si>
    <t>- RM743.00@RM966.00/1.00 ha/PD</t>
  </si>
  <si>
    <t>- RM743.00@RM966.00 x 8 PD/km
- Iaitu lebar koridor x sela (panjang / 10m (seperti dalam TOR JKR))</t>
  </si>
  <si>
    <t>- RM743.00@RM966.00 x 8 PD/km
- Lebar koridor x sela (panjang / 10m (seperti dalam TOR JKR))
- BRJambatan akan assume depth &gt;1m</t>
  </si>
  <si>
    <t xml:space="preserve">- RM743.00@RM966.00 x 2.50 PD/km
</t>
  </si>
  <si>
    <t>- RM743.00RM966.00 x 3.00 PD/km</t>
  </si>
  <si>
    <t>- RM743.00@RM966.00 x 3.75 PD/km</t>
  </si>
  <si>
    <t>- RM743.00@RM966.00 x 5.50 PD/km</t>
  </si>
  <si>
    <t>- (RM2.00@RM2.60/m x 1000m) + (RM743.00/1.6km)</t>
  </si>
  <si>
    <t>- (RM2.50@RM3.25/m x 1000m) + (RM743.00/1km)</t>
  </si>
  <si>
    <t>Section 4 (Peninsular Malaysia) / Section 4 &amp; 5, Section 3 (5) of cap 69 or Section 3 of cap 69 (Sabah only)</t>
  </si>
  <si>
    <t>Section 8 (Peninsular Malaysia)</t>
  </si>
  <si>
    <t>DESCRIPTION</t>
  </si>
  <si>
    <t>4.15 ; 4.1 ;
1.11.1 ; 1.2</t>
  </si>
  <si>
    <t>1.11.2; 1.10.1.1</t>
  </si>
  <si>
    <t>c1. Monumenting Of Type 'C' Mark Of Survey Department</t>
  </si>
  <si>
    <t>a. iii. Relevant documents, plans, maps, record and etc.</t>
  </si>
  <si>
    <t>e. Hiring charge of special equipments and software packages as agreed with the client</t>
  </si>
  <si>
    <t>f. Expenses incurred in the use of special transportation e.g. helicopter, boat etc. as agreed with the client.</t>
  </si>
  <si>
    <t>Replotting A1 Size</t>
  </si>
  <si>
    <t>LONGITUDINAL PROFILING ALONG ESTABLISH CHAINAGE PEGS</t>
  </si>
  <si>
    <t>CROSS SECTIONING</t>
  </si>
  <si>
    <t>b) Larger than 1:1000 but smaller than or equal 1:4000</t>
  </si>
  <si>
    <t>c) Larger than 1:4000 but smaller than or equal 1:1000</t>
  </si>
  <si>
    <t>a) Smaller or equal 1:10000</t>
  </si>
  <si>
    <t>d) Larger than 1:10000</t>
  </si>
  <si>
    <t>AERIAL PHOTOGRAPHY</t>
  </si>
  <si>
    <t>SURVEY STRIP WITH DETAIL</t>
  </si>
  <si>
    <t>BATHYMETRIC (OFFSHORE) PROFILING</t>
  </si>
  <si>
    <t>a) Profile at interval : 25</t>
  </si>
  <si>
    <t>TIDAL OBSERVATION</t>
  </si>
  <si>
    <t>Automatic Water level recording</t>
  </si>
  <si>
    <t>a) 14 days or less</t>
  </si>
  <si>
    <t>DIRECT READING</t>
  </si>
  <si>
    <t>Tidal observation</t>
  </si>
  <si>
    <t>Measurement data processing</t>
  </si>
  <si>
    <t>CURRENT MEASUREMENT</t>
  </si>
  <si>
    <t>sample</t>
  </si>
  <si>
    <t>Monumenting (pipe in concrete)</t>
  </si>
  <si>
    <t>TOPOGRAPHICAL SURVEY</t>
  </si>
  <si>
    <t>TRANSFORMATION FOR COORDINATES</t>
  </si>
  <si>
    <t>a) Transformation of Coordinates</t>
  </si>
  <si>
    <t>ROAD AND RAILWAY SURVEY</t>
  </si>
  <si>
    <t>MONUMENTING (pipe in concrete)</t>
  </si>
  <si>
    <t>SURVEY OF BRIDGE SITE</t>
  </si>
  <si>
    <t>CROSS SECTION WITH SOUNDING</t>
  </si>
  <si>
    <t>HYDROGRAPHIC SURVEY FOR TERRITOTIAL WATERS</t>
  </si>
  <si>
    <t>PREPARATION OF REPORT</t>
  </si>
  <si>
    <t>SEAWATER SAMPLING</t>
  </si>
  <si>
    <t>SEABED (GRAB)</t>
  </si>
  <si>
    <t>SEAWATER TEMPERATURE AND SALINITY</t>
  </si>
  <si>
    <t>a) Installation</t>
  </si>
  <si>
    <t>b) In situ (direct)</t>
  </si>
  <si>
    <t>a) Preparation and set up</t>
  </si>
  <si>
    <t>14 days or less</t>
  </si>
  <si>
    <t>b) Measurement data processing</t>
  </si>
  <si>
    <t>a) Developed area/ Flat &amp; Undulating area</t>
  </si>
  <si>
    <t>b) Built up area/ Undeveloped area/ Hilly area</t>
  </si>
  <si>
    <t>SITE SURVEY</t>
  </si>
  <si>
    <t>DEMARCATION OF BOUNDRIES, PLANIMETRIC CONTROL AND CONNECTION</t>
  </si>
  <si>
    <t>SURVEY IN SECURITY AREA</t>
  </si>
  <si>
    <t>MINIMUM FEE</t>
  </si>
  <si>
    <t>2.10</t>
  </si>
  <si>
    <t xml:space="preserve">    i) 1m</t>
  </si>
  <si>
    <t xml:space="preserve">    ii) 2m</t>
  </si>
  <si>
    <t xml:space="preserve">    iii) 3m</t>
  </si>
  <si>
    <t>b. Hilly area</t>
  </si>
  <si>
    <t>c. Swampy area and Built up area (ordinary)</t>
  </si>
  <si>
    <t xml:space="preserve">    i) 2m</t>
  </si>
  <si>
    <t xml:space="preserve">    ii) 3m</t>
  </si>
  <si>
    <t>Work rates per party-days in hectare</t>
  </si>
  <si>
    <t>4.5 ; 1.7</t>
  </si>
  <si>
    <t>a) More than 2 kilometres</t>
  </si>
  <si>
    <t>Ha</t>
  </si>
  <si>
    <t>Area, A</t>
  </si>
  <si>
    <t>Nos</t>
  </si>
  <si>
    <t>Location</t>
  </si>
  <si>
    <t>b) Direct observation Current speed and direction</t>
  </si>
  <si>
    <t>hour / job</t>
  </si>
  <si>
    <t>Grid Heighing</t>
  </si>
  <si>
    <t>a. Develop Area</t>
  </si>
  <si>
    <t>i) Grid Interval (With Detail)</t>
  </si>
  <si>
    <t>10m</t>
  </si>
  <si>
    <t>20m</t>
  </si>
  <si>
    <t>ii) Grid Interval (Without Detail)</t>
  </si>
  <si>
    <t xml:space="preserve">b. Built up area </t>
  </si>
  <si>
    <t>d. Swampy Area</t>
  </si>
  <si>
    <t>c. Undevelop Area</t>
  </si>
  <si>
    <t>Work rates per km in party-days</t>
  </si>
  <si>
    <t>Minimum Fee shall be 2 party-days which is inclusive of 1 party-days</t>
  </si>
  <si>
    <t>4.11.1</t>
  </si>
  <si>
    <t>CONNECTION AND REFFERENCES MARKER</t>
  </si>
  <si>
    <t>a) Flat and undulating area/develop</t>
  </si>
  <si>
    <t>1m</t>
  </si>
  <si>
    <t>2m</t>
  </si>
  <si>
    <t>3m</t>
  </si>
  <si>
    <t>b) Hilly area/ undevelop</t>
  </si>
  <si>
    <t>b) Built up area</t>
  </si>
  <si>
    <t>a) Develop</t>
  </si>
  <si>
    <t>i) Baseline and heigh control</t>
  </si>
  <si>
    <t>ii) grid line with spot level at interval of:</t>
  </si>
  <si>
    <t>25m</t>
  </si>
  <si>
    <t>50m</t>
  </si>
  <si>
    <t>100m and above</t>
  </si>
  <si>
    <t>c) Undevelop Area</t>
  </si>
  <si>
    <t>d) Swampy Area</t>
  </si>
  <si>
    <t>e) Tidal Area</t>
  </si>
  <si>
    <t>Ground Control Fee</t>
  </si>
  <si>
    <t>Deliverables</t>
  </si>
  <si>
    <t>5% of survey fees</t>
  </si>
  <si>
    <t xml:space="preserve">   10m</t>
  </si>
  <si>
    <t xml:space="preserve">   20m</t>
  </si>
  <si>
    <t>- 2.0 Ha/PD</t>
  </si>
  <si>
    <t>- 1.5 Ha/PD</t>
  </si>
  <si>
    <t>- 1.0 Ha/PD</t>
  </si>
  <si>
    <t>- 0.75 Ha/PD</t>
  </si>
  <si>
    <t>- 0.3 PD/KM</t>
  </si>
  <si>
    <t>- 0.4 PD/KM</t>
  </si>
  <si>
    <t>- 0.5 PD/KM</t>
  </si>
  <si>
    <t>- Cost in party day per km</t>
  </si>
  <si>
    <t>- Direct observation of RM300/hr</t>
  </si>
  <si>
    <t>TOTAL OF ITEM 4</t>
  </si>
  <si>
    <t>TOTAL OF ITEM 2</t>
  </si>
  <si>
    <t>TOTAL OF ITEM 1</t>
  </si>
  <si>
    <t>TOTAL OF ITEM 3</t>
  </si>
  <si>
    <t>TOTAL OF ITEM 7</t>
  </si>
  <si>
    <t>AMOUNT (RM)
(SABAH / SARAWAK)</t>
  </si>
  <si>
    <t>AMOUNT
(RM) (PENINSULAR MALAYSIA)</t>
  </si>
  <si>
    <t xml:space="preserve">    Air Fare</t>
  </si>
  <si>
    <t xml:space="preserve">    Milage</t>
  </si>
  <si>
    <t>d.  Telegrams, fax telex, telephone calls and etc.</t>
  </si>
  <si>
    <t>- Work area in section per party day</t>
  </si>
  <si>
    <t xml:space="preserve">- The work rate in party days per km </t>
  </si>
  <si>
    <t>- 1.75 party day/km</t>
  </si>
  <si>
    <t>- 3.0 party day/km</t>
  </si>
  <si>
    <t>- Charge shall be RM20 per joint subject to a minimum charge of RM400 per job</t>
  </si>
  <si>
    <t>- Work rates per party days in hectare</t>
  </si>
  <si>
    <t>- Minimum Fee shall be 2 party-days which is inclusive of 1 party-days</t>
  </si>
  <si>
    <t>- Work rate for the survey bridge 5.5 party day/ per hectare excluding the generally wetted area</t>
  </si>
  <si>
    <t>- Actual cost + 25% management fee</t>
  </si>
  <si>
    <t>- Work rates per party-day in hectare</t>
  </si>
  <si>
    <t>- Where the duration less than 30 days but more than 14, the fees shall be computed proportionately. Where duration is more than 30 days, then the fees shall be increase proportionately</t>
  </si>
  <si>
    <t>- Cost in party day and lumpsum</t>
  </si>
  <si>
    <t>- Installation of tide pole RM 900</t>
  </si>
  <si>
    <t>- Tidal observation RM20/hr subject to minimum 1 party day per job</t>
  </si>
  <si>
    <t>- Cost in lump sum per location per instrument</t>
  </si>
  <si>
    <t>- The cost per location
- Current speed and direction : subject to minimum of RM3900 per job</t>
  </si>
  <si>
    <t>- Preparation and set up RM1800</t>
  </si>
  <si>
    <t>- In-situ (direct) observation of seawater temperature and salinity
- RM 300/hr subject to a minimum RM3900 per job</t>
  </si>
  <si>
    <t>- The survey result is required to be submitted in a designated format. A change of 20% of total survey fees is applicable</t>
  </si>
  <si>
    <t>- Pertanian , contoh projek MADA / KADA</t>
  </si>
  <si>
    <t>- Contoh projek tebatan banjir JPS / tepi pantai</t>
  </si>
  <si>
    <t xml:space="preserve">- Contoh untuk jalan lurus, 2km/sheet A1 size
- Contoh untuk jalan selekoh, 1km/sheet A1 size
- Salinan lukisan semak dengan JKPTG / PTG / PDT masing-masing </t>
  </si>
  <si>
    <t>(XX set JKPTG / PTG / PDT + min 10 set JKR &amp; KKR)</t>
  </si>
  <si>
    <t>- Jarak pejabat Juruukur ke tapak
- Telah mengambilkira kos peralatan, kenderaan dan tenaga kerja
- Pertambahan PD bagi jarak yang sama tetapi bergantung kepada kompleksiti kerja, keluasan corridor, dan tempoh masa kerja yang singkat 
- Contoh : Lokasi 200km dari pejabat Juruukur, melibatkan kerja ukur di dalam hutan simpan, sepanjang 10km dalam tempoh 1 bulan perlukan 2 team. Kiraan = 2 team * 2 PD = 4 PD</t>
  </si>
  <si>
    <r>
      <t>- Junction Detail Survey
- Contoh simpang tiga, keluasan = 1km * 2km = 2km</t>
    </r>
    <r>
      <rPr>
        <vertAlign val="superscript"/>
        <sz val="10"/>
        <rFont val="Arial"/>
        <family val="2"/>
      </rPr>
      <t xml:space="preserve">2 </t>
    </r>
    <r>
      <rPr>
        <sz val="10"/>
        <rFont val="Arial"/>
        <family val="2"/>
      </rPr>
      <t>= 200 ha</t>
    </r>
  </si>
  <si>
    <t>- Jarak pejabat Juruukur ke tapak
- Telah mengambilkira kos peralatan, kenderaan dan tenaga kerja
- Pertambahan PD bagi jarak yang sama tetapi bergantung kepada kompleksiti kerja, keluasan corridor, dan tempoh masa kerja yang singkat 
- Contoh : Lokasi 200km dari pejabat Juruukur, melibatkan kerja ukur di dalam hutan yang bergaung, sepanjang 1km dalam tempoh 1 bulan perlukan 2 team. Kiraan = 2 team * 2 PD = 4 PD</t>
  </si>
  <si>
    <t>- Bergantung pada panjang jalan dalam TOR JKR (Contoh: 1 km = 1 point)
- Minimum 2 points</t>
  </si>
  <si>
    <t xml:space="preserve">- Kadar harga yang disyorkan oleh CKIP adalah RM3.00-RM3.50
- Kadar harga perlu dibincangkan memandangkan kos telah meningkat
- Kadar harga TNB RM4.50. </t>
  </si>
  <si>
    <t xml:space="preserve">- Jarak pejabat Juruukur ke tapak
- Telah mengambilkira kos peralatan, kenderaan dan tenaga kerja
- Pertambahan PD bagi jarak yang sama tetapi bergantung kepada kompleksiti kerja, keluasan corridor, dan tempoh masa kerja yang singkat </t>
  </si>
  <si>
    <t>- Jarak pejabat Juruukur ke tapak
- Telah mengambilkira kos peralatan, kenderaan dan tenaga kerja
- Pertambahan PD bagi jarak yang sama tetapi bergantung kepada kompleksiti kerja, keluasan corridor, dan tempoh masa kerja yang singkat 
- Contoh : Lokasi 200km dari pejabat Juruukur, melibatkan kerja ukur di dalam hutan simpan, sepanjang 10km dalam tempoh 1 bulan perlukan 2 team atau lebih. Kiraan = 2 team * 2 PD = 4 PD</t>
  </si>
  <si>
    <t>- Tidak dicadangkan untuk dibuat kerana kos mahal. Memadai membuat mengikuti spesifikasi TBM</t>
  </si>
  <si>
    <t>- Anggaran bilangan lot boleh diperolehi dari website eBiz JUPEM / Unit GIS JKR</t>
  </si>
  <si>
    <t>Printing and Binding of Agreement</t>
  </si>
  <si>
    <t>SURVEY IN INACCESSIBLE AREAS</t>
  </si>
  <si>
    <t>3.10.2.3</t>
  </si>
  <si>
    <t>- Workrate adalah 8PD / km of cross sectioning with spot level taken at 10metres intervals.</t>
  </si>
  <si>
    <t>c. Work rate (10m interval)</t>
  </si>
  <si>
    <t>- 4 section/PD , example 1km = 40+1 section (every 25m) as per TOR 1.3.8.4</t>
  </si>
  <si>
    <t>- 7 section/PD , example 1km = 40+1 section (every 25m) as per TOR 1.3.8.4</t>
  </si>
  <si>
    <t>c) Swamp area / Built up area</t>
  </si>
  <si>
    <t>- usually in contourl interval in 2 meter</t>
  </si>
  <si>
    <t>i) Baseline and height control</t>
  </si>
  <si>
    <t>Marking Of Trees Within The Reserve Boundaries</t>
  </si>
  <si>
    <t>c) Swampy area</t>
  </si>
  <si>
    <t>d) Tidal area</t>
  </si>
  <si>
    <t>14.8.2, 14.8.3</t>
  </si>
  <si>
    <t>b) Profile at interval : 50 / 75</t>
  </si>
  <si>
    <t>c) Profile at interval : 100 or more</t>
  </si>
  <si>
    <t>days</t>
  </si>
  <si>
    <t>b) 15-30 days</t>
  </si>
  <si>
    <t>15-30 days</t>
  </si>
  <si>
    <t>20% of 17</t>
  </si>
  <si>
    <t>Printing Of Section 4 (Peninsular Malaysia) / Section 4 &amp; 5, Section 3 (5) of cap 69 or Section 3 of cap 69 (Sabah only) LA Plan for submission to authority
- XX sheet  x XX sets</t>
  </si>
  <si>
    <r>
      <t xml:space="preserve">Tambahan salinan MOA, </t>
    </r>
    <r>
      <rPr>
        <i/>
        <sz val="10"/>
        <rFont val="Arial"/>
        <family val="2"/>
      </rPr>
      <t>Supplementary Agreement</t>
    </r>
    <r>
      <rPr>
        <sz val="10"/>
        <rFont val="Arial"/>
        <family val="2"/>
      </rPr>
      <t xml:space="preserve"> dan laporan yang diperlukan untuk edaran atas arahan semasa</t>
    </r>
  </si>
  <si>
    <t>- RM743.00@RM966.00 x 1.25 (caj tambahan 25% dibenarkan)</t>
  </si>
  <si>
    <t>- RM743.00@RM966.00 x 1.50 (caj tambahan 50% dibenarkan)</t>
  </si>
  <si>
    <t>- Caj tambahan bagi waktu mengunggu kebenaran masuk ke tapak selepas mobilization</t>
  </si>
  <si>
    <t>- RM743.00@RM966.00 x 1.20 (caj tambahan 20% dibenarkan)</t>
  </si>
  <si>
    <t xml:space="preserve">- RM2.00@RM2.60/m x 1000m (peninsular / sabah &amp; sarawak) 
</t>
  </si>
  <si>
    <t xml:space="preserve">- RM2.50@RM3.25/m x 1000m (peninsular / sabah &amp; sarawak) 
</t>
  </si>
  <si>
    <t>7.10</t>
  </si>
  <si>
    <t>- Caj minima RM400
'- Anggaran jumlah salinan pelan mengikut garis panduan KKR/Kementerian berkenaan</t>
  </si>
  <si>
    <t>where : 
- A is area in hectare
- C is the distance in metre = 5A X 10,000
- D is rate for traversing as provided in terms 1.5
- H is arte for heighting as provided in 1.6</t>
  </si>
  <si>
    <t xml:space="preserve">c. Attending Progress meeting and Site meeting where required </t>
  </si>
  <si>
    <r>
      <t>- usually in</t>
    </r>
    <r>
      <rPr>
        <sz val="10"/>
        <color rgb="FFFF0000"/>
        <rFont val="Arial"/>
        <family val="2"/>
      </rPr>
      <t xml:space="preserve"> </t>
    </r>
    <r>
      <rPr>
        <sz val="10"/>
        <rFont val="Arial"/>
        <family val="2"/>
      </rPr>
      <t>contour interval in 2 meter</t>
    </r>
  </si>
  <si>
    <r>
      <t xml:space="preserve">Contoh Topo Survey adalah seperti Site Survey Tapak Sekolah, Hospital, Tapak Reservoir, Treatment Plan dll. Topo Survey bagi Tapak sedemikian digalakkan menjalankan ukuran secara Grid Heighting supaya data-data ketinggian dan detail adalah </t>
    </r>
    <r>
      <rPr>
        <b/>
        <sz val="10"/>
        <rFont val="Arial"/>
        <family val="2"/>
      </rPr>
      <t>lebih tepat</t>
    </r>
  </si>
  <si>
    <t>- Di dalam TOR JKR - Closed Method digunakan
- Contoh projek: 10km 
- Jumlah km = 10km + 1km (sblm TBM / Control Point ) + 1km (selepas TBM / Control Point ) = 12km
- Jika tiada item GPS, item Planemetric Control dikira sebagai Close Loop (Pergi dan balik) 
- Oleh itu, jumlah km perlu didarab 2. Kiraan = 12km * 2 = 24km
- Kesimpulannya, close loop tidak diperlukan sekiranya keperluan GPS telah diambilkira</t>
  </si>
  <si>
    <t>- % kadar harga adalah berbeza mengikut kesusahan / kerumitan / kesukaran akses seperti port, military, airport, berserta keperluan Permit dikawasan Rezab Hutan termasuk keselamatan binatang buas, jika penduduk kampung tidak membenarkan jurukur masuk
- Oleh itu, memerlukan kawalan keselamatan (armed escort)
- Kebenaran masa bekerja yang terhad</t>
  </si>
  <si>
    <t xml:space="preserve"> - Tujuan adalah untuk memberikan coordinate XYZ pada satu tempat 
- Projek luar bandar lebih memerlukan kerana range GPS lebih panjang 
- Terdapat 3 kaedah yang biasa dilaksanakan, iaitu:
- Static - 30 minit (minima) - biasa digunakan
- rapid static - 15 minit (minima)
- RTK (Real Time Kinematic) 1-30 saat
- Dicadangkan bila jauh dari permulaan atau akhir traverse, dan tiada BM lebih dari 5km
- Perlu tulis assume height
- Untuk water supply perlu actual height </t>
  </si>
  <si>
    <t>- 1 no (Lump sum Fixed sum /Prescribed Sum)
- Melibatkan pengunaan peralatan GPS</t>
  </si>
  <si>
    <t>1 no ( Lump sum Fixed Sum / Prescribed Sum )</t>
  </si>
  <si>
    <t xml:space="preserve">- Minimum charge of RM400.00/job
- Berdasarkan permintaan daripada JKR
- Iaitu menukar sistem koordinat jurukur sedia ada
- Berlaku jika jurukur baharu mengambil kerja jurukur lama dengan sistem koordinat yang berlainan
- Item ini tidak terpakai untuk projek baru. Walau bagaimana pun jika terdapat perbezaan ketara antara kedudukan koordinate lot-lot dalam Sistem NDCDB maka perlu diambil kira dalam Sistem Casssini Lama kerana Pelan Akui masih dalam sistem Cassini Lama
- Biasanya untuk projek antara negeri </t>
  </si>
  <si>
    <t>TOTAL COST ITEM 5</t>
  </si>
  <si>
    <t>TOTAL COST ITEM 1-6</t>
  </si>
  <si>
    <t>TOTAL COST FROM ITEMS 10 TO 16</t>
  </si>
  <si>
    <t>TOTAL OF ITEM 16</t>
  </si>
  <si>
    <r>
      <t xml:space="preserve">- Penandaan untuk jumlah pokok yang perlu tebang / tanam semula
- Penandaan pada pokok untuk tujuan Pengambilan Tanah sahaja. Kebiasaan penandaan along kedua belah garisan ROW saja akan menunjukkan limit of ROW bagi tujuan kemudahan penilaian tanah
- Tiada kadar harga untuk kerja rekod bilangan dan </t>
    </r>
    <r>
      <rPr>
        <i/>
        <sz val="10"/>
        <rFont val="Arial"/>
        <family val="2"/>
      </rPr>
      <t>girth</t>
    </r>
    <r>
      <rPr>
        <sz val="10"/>
        <rFont val="Arial"/>
        <family val="2"/>
      </rPr>
      <t xml:space="preserve"> pokok </t>
    </r>
  </si>
  <si>
    <t>- Diperlukan untuk peringkat perancangan jajaran projek
- Kadar harga : RM190 (bergantung kepada harga semasa JUPEM)</t>
  </si>
  <si>
    <t>- Anggaran 1 CP/lot (minima) @  1 CP/500m
- Diperlukan untuk pengambilan balik tanah/datum
- Kadar harga : RM4 (bergantung kepada harga semasa JUPEM)</t>
  </si>
  <si>
    <t>Close loop tak payah di laksanakan jika Traverse dpt close ke mana2 batu sempadan dengan syarat  kodinet batu sempadan / GPS GCP yg di close itu masuk menepati tikian lurus 1: 4000 or better</t>
  </si>
  <si>
    <t>Projek :</t>
  </si>
  <si>
    <t>Klasifikasi :</t>
  </si>
  <si>
    <t>TOTAL OF ITEM 6</t>
  </si>
  <si>
    <t>AMOUNT
(RM)
(PENINSULAR MALAYSIA)</t>
  </si>
  <si>
    <t>- RM743.00@RM966.00 x 1.20 (caj tambahan 20% dibenarkan)
- kawasan pedalaman (contoh guna helikopter)</t>
  </si>
  <si>
    <t>a. Developed Area</t>
  </si>
  <si>
    <t>c. Undeveloped Area</t>
  </si>
  <si>
    <t>as per bill</t>
  </si>
  <si>
    <t>- Kadar harga untuk perjalanan:
- Kapal terbang = as per bill
- Perbatuan = RM0.50/km
- Allow 1 meeting
- Contoh RM720/meeting</t>
  </si>
  <si>
    <t>- Kadar harga untuk perjalanan:
- Kapal terbang = as per bill
- Perbatuan = RM0.50/km
- 1 Kick Off Meeting
- 1 Progress Meeting 
- 2 Site Meeting
= 4 nos (for 2 month Survey Works)</t>
  </si>
  <si>
    <t>UNDERGROUND UTILITY SURVEY WORKS</t>
  </si>
  <si>
    <t>a</t>
  </si>
  <si>
    <t>b</t>
  </si>
  <si>
    <t xml:space="preserve">Yuran Perunding ( a + b ) </t>
  </si>
  <si>
    <t>RINGKASAN KOS PERKHIDMATAN PERUNDING</t>
  </si>
  <si>
    <t>Kos Imbuhan Balik</t>
  </si>
  <si>
    <t>Jumlah Kos Perunding ( 1+2 )</t>
  </si>
  <si>
    <t>Cukai Perkhidmatan 6% daripada jumlah (3)</t>
  </si>
  <si>
    <t>JUMLAH KESELURUHAN (Termasuk Cukai)</t>
  </si>
  <si>
    <t>Stage 1 - Preliminary Survey</t>
  </si>
  <si>
    <t>- RM743.00@RM966.00/1.6km
- Jumlah jarak sama dengan item 2.4</t>
  </si>
  <si>
    <t>- RM743.00@RM966.00/1.6km
- Jumlah jarak sama dengan item 3.3</t>
  </si>
  <si>
    <t>- RM743.00@RM966.00/1.6km
- Jumlah jarak sama dengan item 4.3</t>
  </si>
  <si>
    <t>- RM743.00@RM966.00/1.6km
- Jumlah jarak sama dengan item 4.11.1</t>
  </si>
  <si>
    <t>- RM743.00@RM966.00/1.6km
- Jumlah jarak sama dengan item 14.2</t>
  </si>
  <si>
    <t>- RM743.00@RM966.00/1.6km
- Jumlah jarak sama dengan item 7.3</t>
  </si>
  <si>
    <t>RM743.00@RM966.00/4 (4 marks/PD)
- Nos i + ii perlu sama dengan nos item 4c
- Tapak yang boleh diakses dengan kenderaan</t>
  </si>
  <si>
    <t>- RM743/2 (2 marks/PD)
- Tapak yang tidak boleh diakses dengan kenderaan
- Nos i + ii perlu sama dengan nos item 4c</t>
  </si>
  <si>
    <t>3.10</t>
  </si>
  <si>
    <t>- 3.00 party day/km</t>
  </si>
  <si>
    <t>- BRJambatan akan assume depth &gt;1m</t>
  </si>
  <si>
    <t>- Boat rental RM300.00 per boat per day
- Anggapan jurukur biasanya 30km/day/river (lapang dan tiada halangan di dalam sungai)
- Bergantung juga pada cuaca dan keadaan sungai</t>
  </si>
  <si>
    <t>Milage</t>
  </si>
  <si>
    <t>Air Fare</t>
  </si>
  <si>
    <t xml:space="preserve">- Anggaran 1km/sheet A1 size
- Salinan lukisan semak dengan JKPTG / PTG / PDT masing-masing </t>
  </si>
  <si>
    <t>- Diperlukan untuk peringkat perancangan jajaran projek
- Kadar harga : RM190 (bergantung kepada harga semasa JUPEM) / cadastral
- 1 cadastral = 500m length</t>
  </si>
  <si>
    <t>- Anggaran bilangan lot boleh diperolehi dari website eBiz JUPEM/Unit GIS JKR
- Anggaran kos Bilangan Lot = RM200/lot
- Anggaran kos Carian Rasmi = RM150
- Anggaran kos Salinan Sah Hak Milik = RM200</t>
  </si>
  <si>
    <t>- Contoh lukisan dari 4 chain to 2 chain</t>
  </si>
  <si>
    <t>- Anggaran 1 CP/lot (minima) @  1 CP/500m
- Diperlukan untuk pengambilan balik tanah/datum
- Kadar harga : RM10 (bergantung kepada harga semasa JUPEM)</t>
  </si>
  <si>
    <t xml:space="preserve">- Kadar harga untuk perjalanan:
- Kapal terbang = as per bill
- Perbatuan = RM0.50/km
- Hotel = max RM180.00++/day </t>
  </si>
  <si>
    <t xml:space="preserve">Printing Of Section 8 LA Plan for submission to authority </t>
  </si>
  <si>
    <t>REIMBURSABLES</t>
  </si>
  <si>
    <t>TOTAL COST FOR REIMBURSABLES</t>
  </si>
  <si>
    <t>Section</t>
  </si>
  <si>
    <t>Preparation of pre-computation plan</t>
  </si>
  <si>
    <t>- Perlu jika ada lapse (lebih 3 bulan tempoh sah )</t>
  </si>
  <si>
    <t>where : 
- A is area in hectare
- C is the distance in metre = 5A x 10,000
- D is rate for traversing as provided in terms 1.5
- H is arte for heighting as provided in 1.6</t>
  </si>
  <si>
    <t>b. Hilly area / Swampy area / Built up area</t>
  </si>
  <si>
    <t>b. Hilly area / Swampy area / Built up area (ordinary)</t>
  </si>
  <si>
    <t>- Work rate adalah 8PD / km of cross sectioning with spot level taken at 10m intervals.</t>
  </si>
  <si>
    <t>a. More than 2 kilometres</t>
  </si>
  <si>
    <t>a. Transformation of Coordinates</t>
  </si>
  <si>
    <t xml:space="preserve">    i. 1m</t>
  </si>
  <si>
    <t xml:space="preserve">    ii. 2m</t>
  </si>
  <si>
    <t xml:space="preserve">    iii. 3m</t>
  </si>
  <si>
    <t xml:space="preserve">    i. 2m</t>
  </si>
  <si>
    <t xml:space="preserve">    ii. 3m</t>
  </si>
  <si>
    <t>i. Grid Interval (With Detail)</t>
  </si>
  <si>
    <t>ii. Grid Interval (Without Detail)</t>
  </si>
  <si>
    <t>a. Depth of water less than 1m</t>
  </si>
  <si>
    <t xml:space="preserve">b. Depth of water greater than 1m </t>
  </si>
  <si>
    <t>i. Mobilization and Demobilization of boat</t>
  </si>
  <si>
    <t xml:space="preserve">ii. Boat rental </t>
  </si>
  <si>
    <t>iii. Work rate (10m interval)</t>
  </si>
  <si>
    <t>a. Flat</t>
  </si>
  <si>
    <t>b. Hilly / Built Up / Swampy</t>
  </si>
  <si>
    <t>b. Built up area / Undeveloped area / Hilly area</t>
  </si>
  <si>
    <t>c. Swampy area</t>
  </si>
  <si>
    <t>a. Smaller or equal 1:10000</t>
  </si>
  <si>
    <t>b. Larger than 1:1000 but smaller than or equal 1:4000</t>
  </si>
  <si>
    <t>c. Larger than 1:4000 but smaller than or equal 1:1000</t>
  </si>
  <si>
    <t>d. Larger than 1:10000</t>
  </si>
  <si>
    <t>d. Tidal area</t>
  </si>
  <si>
    <t>a. Profile at interval : 25</t>
  </si>
  <si>
    <t>b. Profile at interval : 50 / 75</t>
  </si>
  <si>
    <t>c. Profile at interval : 100 or more</t>
  </si>
  <si>
    <t>a. 14 days or less</t>
  </si>
  <si>
    <t>b. 15-30 days</t>
  </si>
  <si>
    <t>a. Installation</t>
  </si>
  <si>
    <t>a. Preparation and set up</t>
  </si>
  <si>
    <t>b. Direct observation Current speed and direction</t>
  </si>
  <si>
    <t>b. In situ (direct)</t>
  </si>
  <si>
    <t>a. Accessible</t>
  </si>
  <si>
    <t>b. Inaccessible</t>
  </si>
  <si>
    <t>a. Security pass or permit has to be obtained</t>
  </si>
  <si>
    <t>b. Armed escort is required and working hours are dictated by relevant authority</t>
  </si>
  <si>
    <t>c. When there is a waiting time after mobilization</t>
  </si>
  <si>
    <t>b. Hilly area / Swampy area</t>
  </si>
  <si>
    <t>- 1 no ( Lump sum Fixed Sum / Prescribed Sum )</t>
  </si>
  <si>
    <t>- Tapak yang boleh diakses dengan kenderaan</t>
  </si>
  <si>
    <t>- 1 no (Lump sum Fixed sum / Prescribed Sum)
- Melibatkan pengunaan peralatan GPS</t>
  </si>
  <si>
    <t>- Installation of tide pole RM900</t>
  </si>
  <si>
    <t>- Based on 60m contour interval</t>
  </si>
  <si>
    <t>- Caj minima RM400
- Anggaran bilangan lot boleh diperolehi dari website eBiz JUPEM / Unit GIS JKR
- Anggaran jumlah salinan pelan mengikut garis panduan KKR/Kementerian berkenaan</t>
  </si>
  <si>
    <t>- Dokumen tambahan yang diperlukan untuk edaran atas arahan semasa</t>
  </si>
  <si>
    <t>- Caj minima RM400
- Anggaran jumlah salinan pelan mengikut garis panduan KKR/Kementerian berkenaan</t>
  </si>
  <si>
    <t>Stage 2 - Setting Out Reserve etc.</t>
  </si>
  <si>
    <t>- Work rates per party-days in hectare</t>
  </si>
  <si>
    <t>- Usually With Details 20m</t>
  </si>
  <si>
    <t>- Work rates per km in party-days</t>
  </si>
  <si>
    <t xml:space="preserve">- Keperluan bagi setiap projek adalah 1 no
</t>
  </si>
  <si>
    <t>- The work rate in party days per km 
- For bridge use only</t>
  </si>
  <si>
    <t>- 5% of survey fees</t>
  </si>
  <si>
    <t>- Jarak pejabat Juruukur ke tapak
- Telah mengambilkira kos peralatan, kenderaan dan tenaga kerja
- Pertambahan PD bagi jarak yang sama tetapi bergantung kepada kompleksiti kerja, keluasan corridor, dan tempoh masa kerja yang singkat 
- Contoh : Lokasi 100km dari pejabat Juruukur</t>
  </si>
  <si>
    <t>- RM743.00@RM966.00/4 (4 marks/PD)
- Tapak yang boleh diakses dengan kenderaan
- Cadangan 1km = 1 no</t>
  </si>
  <si>
    <t>- RM743.00@RM966.00/2 (2 marks/PD)
- Tapak yang tidak boleh diakses dengan kenderaan
- Cadangan 1km = 1 no</t>
  </si>
  <si>
    <t>- Panjang jajaran projek
- Bergantung kepada keperluan</t>
  </si>
  <si>
    <t>1.2, 2.2, 3.1, 4.1</t>
  </si>
  <si>
    <t>1.3, 2.3, 3.2, 4.2</t>
  </si>
  <si>
    <t>PLANIMETRIC CONTROL AND CONNECTION</t>
  </si>
  <si>
    <t>MOBILIZATION AND DEMOBILIZATION</t>
  </si>
  <si>
    <t>HEIGHT CONTROL AND CONNECTION</t>
  </si>
  <si>
    <t>MONUMENTING (concreting)</t>
  </si>
  <si>
    <t>SURVEY IN SECURITY AREAS</t>
  </si>
  <si>
    <t>SURVEY OF STRIP WITH SPOT LEVEL AND DETAIL</t>
  </si>
  <si>
    <t>CROSS SECTIONING WITH SOUNDING FOR BRIDGE SITES</t>
  </si>
  <si>
    <t>SURVEY OF STRIP WITH DETAIL</t>
  </si>
  <si>
    <t>Automatic Water Level Recording</t>
  </si>
  <si>
    <t>Self Recording Current Measurement</t>
  </si>
  <si>
    <t>b. Measurement and data processing</t>
  </si>
  <si>
    <t>SEAWATER TEMPERATURE AND SALINITY MEASUREMENT</t>
  </si>
  <si>
    <t>SEABED (GRAB) SOIL SAMPLING</t>
  </si>
  <si>
    <t>PREPARATION OF REPORT AND SUBMISSION</t>
  </si>
  <si>
    <t>POINT POSITIONING BY SATELLITE
(GPS)</t>
  </si>
  <si>
    <t>SURVEY OF BRIDGE SITES</t>
  </si>
  <si>
    <t>Bathhymatric (Offshore) Profiling</t>
  </si>
  <si>
    <t>PROCESSING, CONVERSION NAD TRANSLATION DIGITAL DATA IN MOSS GENIO / 3D AUTOCAD</t>
  </si>
  <si>
    <t>MARKING OF TREES WITHIN THE RESERVE BOUNDARIES</t>
  </si>
  <si>
    <t>NOTES</t>
  </si>
  <si>
    <t>SETTING OUT CENTRELINE OF ROAD AND RAILWAY (20m interval)</t>
  </si>
  <si>
    <t>TOTAL COST FROM ITEMS 10 TO 12</t>
  </si>
  <si>
    <t>a. Time involved for search at Land Office and PTG</t>
  </si>
  <si>
    <t>b. Computation and plan drawing</t>
  </si>
  <si>
    <t>1.11.3</t>
  </si>
  <si>
    <t>1.11.2</t>
  </si>
  <si>
    <t>a. Flat and undulating area</t>
  </si>
  <si>
    <t>a. Flat and undulating area (ordinary)</t>
  </si>
  <si>
    <t>a. Flat and Undulating area / Built up area</t>
  </si>
  <si>
    <t>a. Developed area / Flat and Undulating area</t>
  </si>
  <si>
    <t>a. Flat and Undulating area</t>
  </si>
  <si>
    <t>i. Flat and undulating area</t>
  </si>
  <si>
    <t>Section 4 (Peninsular Malaysia) / Section 4 and 5, Section 3 (5) of cap 69 or Section 3 of cap 69 (Sabah only)</t>
  </si>
  <si>
    <t>Printing Of Section 4 (Peninsular Malaysia) / Section 4 and 5, Section 3 (5) of cap 69 or Section 3 of cap 69 (Sabah only) LA Plan for submission to authority</t>
  </si>
  <si>
    <t>- Tujuan adalah untuk memberikan coordinate XYZ pada satu tempat 
- Projek luar bandar lebih memerlukan kerana range GPS lebih panjang 
- Terdapat 3 kaedah yang biasa dilaksanakan, iaitu:
- Static = 30 minit (minima) - biasa digunakan
- Rapid static = 15 minit (minima)
- RTK (Real Time Kinematic) = 1-30 saat</t>
  </si>
  <si>
    <t>SABAH / SARAWAK</t>
  </si>
  <si>
    <t>- Persediaan masuk ke tapak (bilangan team, resouces, peralatan, method / kaedah kerja dll yang berkaitan)
- Only 1 party-day</t>
  </si>
  <si>
    <t xml:space="preserve">- RM2.00@RM2.60/m x 1000m (Peninsular / Sabah and Sarawak) 
- Panjang jalan + panjang simpang
</t>
  </si>
  <si>
    <t>- RM2.00@RM2.60/m x 1000m (Peninsular / Sabah and Sarawak)
- Panjang jalan + panjang simpang</t>
  </si>
  <si>
    <t>- RM743.00@RM966.00/1.6km
- Jumlah jarak sama dengan item length of Planimetric Control and Connection
- Panjang jalan + panjang simpang</t>
  </si>
  <si>
    <t>- RM743.00@RM966.00/1km
- Panjang jalan + panjang simpang</t>
  </si>
  <si>
    <t xml:space="preserve">- Penandaan untuk jumlah pokok yang perlu tebang / tanam semula / dikekalkan
- Penandaan pada pokok untuk tujuan Pengambilan Tanah sahaja. Kebiasaan penandaan along kedua belah garisan ROW saja akan menunjukkan limit of ROW bagi tujuan kemudahan penilaian tanah
- Tiada kadar harga untuk kerja rekod bilangan dan girth pokok </t>
  </si>
  <si>
    <t>- Panjang cadangan jajaran x lebar koridor ukur</t>
  </si>
  <si>
    <t>- Biasanya untuk projek antara negeri 
- Berdasarkan permintaan daripada JKR
- Iaitu menukar sistem koordinat jurukur sedia ada
- Berlaku jika jurukur baharu mengambil kerja jurukur lama dengan sistem koordinat yang berlainan
- Item ini tidak terpakai untuk projek baru. Walau bagaimana pun jika terdapat perbezaan ketara antara kedudukan koordinate lot-lot dalam Sistem NDCDB maka perlu diambil kira dalam Sistem Casssini Lama kerana Pelan Akui masih dalam sistem Cassini Lama</t>
  </si>
  <si>
    <t>SITE SURVEY (INTERSECTION AND ROAD JUNCTION SURVEY)</t>
  </si>
  <si>
    <t>- Existing bridge
- Work rate for the survey bridge 5.5 party day/ per hectare excluding the generally wetted area</t>
  </si>
  <si>
    <t>- Bergantung kepada keperluan projek terutamanya di kawasan rural
- Actual cost + 25% management fee</t>
  </si>
  <si>
    <t>- Close loop tidak perlu di laksanakan jika traverse dpt close ke mana-mana batu sempadan dengan syarat  koordinat batu sempadan / GPS GCP yg di close itu masuk menepati tikian lurus 1: 4000 or better</t>
  </si>
  <si>
    <t>- RM743.00@RM966.00/2 (2 marks/PD)
- Tapak yang tidak boleh diakses dengan kenderaan
- No of RM (1 IP = 2 RM)</t>
  </si>
  <si>
    <t>- RM743.00@RM966.00/4 (4 marks/PD)
- Tapak yang boleh diakses dengan kenderaan
- No of RM (1 IP = 2 RM)</t>
  </si>
  <si>
    <t>- 7 section/PD , example 1km = 40+1 section (every 25m) as per TOR 1.3.8.3</t>
  </si>
  <si>
    <t>- 4 section/PD , example 1km = 40+1 section (every 25m) as per TOR 1.3.8.3</t>
  </si>
  <si>
    <t>Nota: Kuantiti dalam cell ini tidak boleh diubah</t>
  </si>
  <si>
    <t>ROAD  SURVEY</t>
  </si>
  <si>
    <t xml:space="preserve">- Untuk pengesahan data planimetric control and connection
- Minimum 3 nos bagi &lt;5km dan tambahan 1 nos setiap 5km </t>
  </si>
  <si>
    <t>- Contoh Topo Survey adalah seperti Site Survey Tapak Sekolah, Hospital, Tapak Reservoir, Treatment Plan dll. Topo Survey bagi Tapak sedemikian digalakkan menjalankan ukuran secara Grid Heighting supaya data-data ketinggian dan detail adalah lebih tepat</t>
  </si>
  <si>
    <t>- Usually in contour interval in 2 meter</t>
  </si>
  <si>
    <t>- RM400/job charge minium per job</t>
  </si>
  <si>
    <r>
      <rPr>
        <b/>
        <u/>
        <sz val="12"/>
        <rFont val="Arial"/>
        <family val="2"/>
      </rPr>
      <t xml:space="preserve">FLAT </t>
    </r>
    <r>
      <rPr>
        <b/>
        <sz val="12"/>
        <rFont val="Arial"/>
        <family val="2"/>
      </rPr>
      <t>/ BUILT-UP / HILLY / SWAMPY AREA</t>
    </r>
  </si>
  <si>
    <t>(40 set JKPTG + 10 set JKR Record)</t>
  </si>
  <si>
    <t>(40set JKPTG / PTG / PDT + min 10 set JKR and Kementerian Pelanggan)</t>
  </si>
  <si>
    <t>CADANGAN TEMPOH PERKHIDMATAN PERUNDING UKUR TANAH : 24 BULAN</t>
  </si>
  <si>
    <t>BIL.</t>
  </si>
  <si>
    <t>AKTIVITI</t>
  </si>
  <si>
    <t>BULAN</t>
  </si>
  <si>
    <t>KERJA UKUR</t>
  </si>
  <si>
    <t xml:space="preserve">   SST Ukur</t>
  </si>
  <si>
    <t>(2 bulan)</t>
  </si>
  <si>
    <t>1 bulan Kerja Lapangan &amp; 1 bulan penyediaan pelan ukur topo</t>
  </si>
  <si>
    <t>Penyediaan lukisan,</t>
  </si>
  <si>
    <t>Semakan JKR/JKPTG/PTG</t>
  </si>
  <si>
    <t>Seksyen 4</t>
  </si>
  <si>
    <t>(6 bulan)</t>
  </si>
  <si>
    <t xml:space="preserve">Kelulusan &amp; Pewartaan </t>
  </si>
  <si>
    <t>Seksyen 4 oleh JKPTG</t>
  </si>
  <si>
    <t>PBT SEKSYEN 4</t>
  </si>
  <si>
    <t>Seksyen 8</t>
  </si>
  <si>
    <t>PBT SEKSYEN 8</t>
  </si>
  <si>
    <t>(12 bulan)</t>
  </si>
  <si>
    <t xml:space="preserve">Kelulusan Pelan, Pewartaan Seksyen 8, </t>
  </si>
  <si>
    <t>Penandaan, Siasatan, Perbicaraan, Borang K</t>
  </si>
  <si>
    <t>VERIFIKASI DATA UKUR</t>
  </si>
  <si>
    <t>SEMASA PEMBINAAN</t>
  </si>
  <si>
    <t>(4 bulan)</t>
  </si>
  <si>
    <t xml:space="preserve">PERAKUAN MUKTAMAD </t>
  </si>
  <si>
    <t>PERUNDING</t>
  </si>
  <si>
    <t>(3 bulan)</t>
  </si>
  <si>
    <t>Cadangan Tempoh Perkhidmatan Perunding Ukur Tanah selama 24 bulan</t>
  </si>
  <si>
    <t>Tuntutan bayaran muktamad dan deklarasi</t>
  </si>
  <si>
    <t>Perunding, Perakuan JPP, Bayaran Muktamad</t>
  </si>
  <si>
    <t>Penutupan Akaun, Penilaian Prestasi dan</t>
  </si>
  <si>
    <t>Kemaskini rekod Peruntukan</t>
  </si>
  <si>
    <t>…</t>
  </si>
  <si>
    <t>PENGGANTIAN JAMBATAN FT001/345/90, SG. RINCHING, HULU LANGAT, SELANGOR</t>
  </si>
  <si>
    <t>**Tgk balik nie formula excell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</si>
</sst>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_(* \(#,##0.00\);_(* &quot;-&quot;??_);_(@_)"/>
  </numFmts>
  <fonts count="24" x14ac:knownFonts="1">
    <font>
      <sz val="11"/>
      <color theme="1"/>
      <name val="Calibri"/>
      <family val="2"/>
      <scheme val="minor"/>
    </font>
    <font>
      <sz val="11"/>
      <color theme="1"/>
      <name val="Calibri"/>
      <family val="2"/>
      <scheme val="minor"/>
    </font>
    <font>
      <sz val="10"/>
      <name val="Arial"/>
      <family val="2"/>
    </font>
    <font>
      <sz val="10"/>
      <color rgb="FF000000"/>
      <name val="Times New Roman"/>
      <family val="1"/>
    </font>
    <font>
      <sz val="10"/>
      <color rgb="FFFF0000"/>
      <name val="Arial"/>
      <family val="2"/>
    </font>
    <font>
      <b/>
      <sz val="10"/>
      <color theme="1"/>
      <name val="Arial"/>
      <family val="2"/>
    </font>
    <font>
      <sz val="10"/>
      <color theme="1"/>
      <name val="Arial"/>
      <family val="2"/>
    </font>
    <font>
      <sz val="10"/>
      <name val="Arial"/>
      <family val="2"/>
    </font>
    <font>
      <b/>
      <sz val="10"/>
      <name val="Arial"/>
      <family val="2"/>
    </font>
    <font>
      <b/>
      <sz val="12"/>
      <name val="Arial"/>
      <family val="2"/>
    </font>
    <font>
      <i/>
      <sz val="10"/>
      <name val="Arial"/>
      <family val="2"/>
    </font>
    <font>
      <u/>
      <sz val="10"/>
      <name val="Arial"/>
      <family val="2"/>
    </font>
    <font>
      <vertAlign val="superscript"/>
      <sz val="10"/>
      <name val="Arial"/>
      <family val="2"/>
    </font>
    <font>
      <b/>
      <i/>
      <sz val="10"/>
      <name val="Arial"/>
      <family val="2"/>
    </font>
    <font>
      <b/>
      <sz val="10"/>
      <color rgb="FFFF0000"/>
      <name val="Arial"/>
      <family val="2"/>
    </font>
    <font>
      <sz val="10"/>
      <color rgb="FF0070C0"/>
      <name val="Arial"/>
      <family val="2"/>
    </font>
    <font>
      <sz val="10"/>
      <color rgb="FFFFFF00"/>
      <name val="Arial"/>
      <family val="2"/>
    </font>
    <font>
      <b/>
      <u/>
      <sz val="12"/>
      <name val="Arial"/>
      <family val="2"/>
    </font>
    <font>
      <sz val="9"/>
      <color indexed="81"/>
      <name val="Tahoma"/>
      <family val="2"/>
    </font>
    <font>
      <b/>
      <sz val="9"/>
      <color indexed="81"/>
      <name val="Tahoma"/>
      <family val="2"/>
    </font>
    <font>
      <b/>
      <sz val="11"/>
      <color theme="1"/>
      <name val="Arial"/>
      <family val="2"/>
    </font>
    <font>
      <sz val="11"/>
      <color theme="1"/>
      <name val="Arial"/>
      <family val="2"/>
    </font>
    <font>
      <sz val="9"/>
      <color theme="1"/>
      <name val="Arial"/>
      <family val="2"/>
    </font>
    <font>
      <sz val="9"/>
      <color rgb="FFFF0000"/>
      <name val="Arial"/>
      <family val="2"/>
    </font>
  </fonts>
  <fills count="8">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top/>
      <bottom style="hair">
        <color indexed="64"/>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s>
  <cellStyleXfs count="7">
    <xf numFmtId="0" fontId="0" fillId="0" borderId="0"/>
    <xf numFmtId="0" fontId="2" fillId="0" borderId="0"/>
    <xf numFmtId="0" fontId="1" fillId="0" borderId="0"/>
    <xf numFmtId="0" fontId="3" fillId="0" borderId="0"/>
    <xf numFmtId="0" fontId="7" fillId="0" borderId="0"/>
    <xf numFmtId="164" fontId="1" fillId="0" borderId="0" applyFont="0" applyFill="0" applyBorder="0" applyAlignment="0" applyProtection="0"/>
    <xf numFmtId="0" fontId="2" fillId="0" borderId="0"/>
  </cellStyleXfs>
  <cellXfs count="510">
    <xf numFmtId="0" fontId="0" fillId="0" borderId="0" xfId="0"/>
    <xf numFmtId="4" fontId="2" fillId="0" borderId="7" xfId="1" applyNumberFormat="1" applyBorder="1" applyAlignment="1">
      <alignment horizontal="center" vertical="top"/>
    </xf>
    <xf numFmtId="0" fontId="2" fillId="0" borderId="7" xfId="1" applyBorder="1" applyAlignment="1">
      <alignment vertical="top"/>
    </xf>
    <xf numFmtId="0" fontId="2" fillId="0" borderId="3" xfId="1" applyBorder="1" applyAlignment="1">
      <alignment vertical="top"/>
    </xf>
    <xf numFmtId="0" fontId="8" fillId="0" borderId="8" xfId="1" applyFont="1" applyBorder="1" applyAlignment="1">
      <alignment vertical="top"/>
    </xf>
    <xf numFmtId="0" fontId="2" fillId="0" borderId="10" xfId="1" applyBorder="1" applyAlignment="1">
      <alignment horizontal="center" vertical="top"/>
    </xf>
    <xf numFmtId="4" fontId="2" fillId="0" borderId="10" xfId="1" applyNumberFormat="1" applyBorder="1" applyAlignment="1">
      <alignment vertical="top"/>
    </xf>
    <xf numFmtId="4" fontId="2" fillId="0" borderId="1" xfId="1" applyNumberFormat="1" applyBorder="1" applyAlignment="1">
      <alignment horizontal="center" vertical="top"/>
    </xf>
    <xf numFmtId="0" fontId="2" fillId="0" borderId="0" xfId="1" applyAlignment="1">
      <alignment vertical="top"/>
    </xf>
    <xf numFmtId="0" fontId="8" fillId="0" borderId="7" xfId="1" applyFont="1" applyBorder="1" applyAlignment="1">
      <alignment horizontal="center" vertical="top"/>
    </xf>
    <xf numFmtId="4" fontId="2" fillId="0" borderId="3" xfId="1" applyNumberFormat="1" applyBorder="1" applyAlignment="1">
      <alignment horizontal="center" vertical="top"/>
    </xf>
    <xf numFmtId="0" fontId="8" fillId="0" borderId="4" xfId="1" applyFont="1" applyBorder="1" applyAlignment="1">
      <alignment vertical="top"/>
    </xf>
    <xf numFmtId="0" fontId="8" fillId="0" borderId="0" xfId="1" applyFont="1" applyAlignment="1">
      <alignment vertical="top"/>
    </xf>
    <xf numFmtId="0" fontId="2" fillId="0" borderId="8" xfId="1" applyBorder="1" applyAlignment="1">
      <alignment vertical="top"/>
    </xf>
    <xf numFmtId="4" fontId="2" fillId="0" borderId="4" xfId="1" applyNumberFormat="1" applyBorder="1" applyAlignment="1">
      <alignment horizontal="center" vertical="top"/>
    </xf>
    <xf numFmtId="0" fontId="2" fillId="0" borderId="0" xfId="1" applyAlignment="1">
      <alignment horizontal="center" vertical="top"/>
    </xf>
    <xf numFmtId="0" fontId="2" fillId="0" borderId="11" xfId="1" applyBorder="1" applyAlignment="1">
      <alignment vertical="top"/>
    </xf>
    <xf numFmtId="0" fontId="2" fillId="0" borderId="11" xfId="1" applyBorder="1" applyAlignment="1">
      <alignment horizontal="center" vertical="top"/>
    </xf>
    <xf numFmtId="0" fontId="11" fillId="0" borderId="0" xfId="1" applyFont="1" applyAlignment="1">
      <alignment vertical="top"/>
    </xf>
    <xf numFmtId="0" fontId="8" fillId="0" borderId="2" xfId="1" applyFont="1" applyBorder="1" applyAlignment="1">
      <alignment horizontal="center" vertical="top"/>
    </xf>
    <xf numFmtId="0" fontId="8" fillId="0" borderId="4" xfId="1" applyFont="1" applyBorder="1" applyAlignment="1">
      <alignment horizontal="center" vertical="top"/>
    </xf>
    <xf numFmtId="4" fontId="2" fillId="0" borderId="7" xfId="1" quotePrefix="1" applyNumberFormat="1" applyBorder="1" applyAlignment="1">
      <alignment horizontal="center" vertical="top"/>
    </xf>
    <xf numFmtId="0" fontId="2" fillId="0" borderId="12" xfId="1" applyBorder="1" applyAlignment="1">
      <alignment horizontal="center" vertical="top"/>
    </xf>
    <xf numFmtId="0" fontId="2" fillId="0" borderId="12" xfId="1" applyBorder="1" applyAlignment="1">
      <alignment vertical="top"/>
    </xf>
    <xf numFmtId="4" fontId="2" fillId="0" borderId="12" xfId="1" applyNumberFormat="1" applyBorder="1" applyAlignment="1">
      <alignment vertical="top"/>
    </xf>
    <xf numFmtId="4" fontId="2" fillId="0" borderId="12" xfId="1" applyNumberFormat="1" applyBorder="1" applyAlignment="1">
      <alignment horizontal="center" vertical="top"/>
    </xf>
    <xf numFmtId="0" fontId="2" fillId="0" borderId="4" xfId="1" applyBorder="1" applyAlignment="1">
      <alignment vertical="top"/>
    </xf>
    <xf numFmtId="0" fontId="2" fillId="0" borderId="10" xfId="1" applyBorder="1" applyAlignment="1">
      <alignment vertical="top"/>
    </xf>
    <xf numFmtId="0" fontId="2" fillId="0" borderId="14" xfId="1" applyBorder="1" applyAlignment="1">
      <alignment vertical="top"/>
    </xf>
    <xf numFmtId="0" fontId="8" fillId="0" borderId="0" xfId="0" applyFont="1" applyAlignment="1">
      <alignment horizontal="center" vertical="top" wrapText="1"/>
    </xf>
    <xf numFmtId="49" fontId="10" fillId="0" borderId="0" xfId="4" applyNumberFormat="1" applyFont="1" applyAlignment="1" applyProtection="1">
      <alignment horizontal="left" vertical="top"/>
      <protection hidden="1"/>
    </xf>
    <xf numFmtId="49" fontId="13" fillId="0" borderId="0" xfId="4" applyNumberFormat="1" applyFont="1" applyAlignment="1" applyProtection="1">
      <alignment horizontal="left" vertical="top"/>
      <protection hidden="1"/>
    </xf>
    <xf numFmtId="4" fontId="8" fillId="0" borderId="12" xfId="1" applyNumberFormat="1" applyFont="1" applyBorder="1" applyAlignment="1">
      <alignment horizontal="center" vertical="top"/>
    </xf>
    <xf numFmtId="0" fontId="8" fillId="0" borderId="14" xfId="1" applyFont="1" applyBorder="1" applyAlignment="1">
      <alignment vertical="top"/>
    </xf>
    <xf numFmtId="4" fontId="8" fillId="0" borderId="12" xfId="1" quotePrefix="1" applyNumberFormat="1" applyFont="1" applyBorder="1" applyAlignment="1">
      <alignment horizontal="center" vertical="top"/>
    </xf>
    <xf numFmtId="0" fontId="8" fillId="0" borderId="15" xfId="1" applyFont="1" applyBorder="1" applyAlignment="1">
      <alignment vertical="top"/>
    </xf>
    <xf numFmtId="0" fontId="8" fillId="0" borderId="12" xfId="1" applyFont="1" applyBorder="1" applyAlignment="1">
      <alignment vertical="top"/>
    </xf>
    <xf numFmtId="0" fontId="2" fillId="0" borderId="15" xfId="1" applyBorder="1" applyAlignment="1">
      <alignment horizontal="center" vertical="top"/>
    </xf>
    <xf numFmtId="4" fontId="8" fillId="0" borderId="15" xfId="1" applyNumberFormat="1" applyFont="1" applyBorder="1" applyAlignment="1">
      <alignment horizontal="center" vertical="top"/>
    </xf>
    <xf numFmtId="4" fontId="2" fillId="0" borderId="0" xfId="1" applyNumberFormat="1" applyAlignment="1">
      <alignment vertical="top"/>
    </xf>
    <xf numFmtId="2" fontId="2" fillId="0" borderId="0" xfId="1" applyNumberFormat="1" applyAlignment="1">
      <alignment vertical="top"/>
    </xf>
    <xf numFmtId="0" fontId="8" fillId="0" borderId="0" xfId="1" applyFont="1" applyAlignment="1">
      <alignment horizontal="center" vertical="top"/>
    </xf>
    <xf numFmtId="0" fontId="8" fillId="0" borderId="17" xfId="1" applyFont="1" applyBorder="1" applyAlignment="1">
      <alignment vertical="top"/>
    </xf>
    <xf numFmtId="0" fontId="2" fillId="0" borderId="17" xfId="1" applyBorder="1" applyAlignment="1">
      <alignment horizontal="center" vertical="top"/>
    </xf>
    <xf numFmtId="4" fontId="2" fillId="0" borderId="17" xfId="1" applyNumberFormat="1" applyBorder="1" applyAlignment="1">
      <alignment horizontal="center" vertical="top"/>
    </xf>
    <xf numFmtId="0" fontId="2" fillId="0" borderId="19" xfId="1" applyBorder="1" applyAlignment="1">
      <alignment horizontal="left" vertical="top"/>
    </xf>
    <xf numFmtId="0" fontId="2" fillId="0" borderId="19" xfId="1" applyBorder="1" applyAlignment="1">
      <alignment horizontal="center" vertical="top"/>
    </xf>
    <xf numFmtId="4" fontId="2" fillId="0" borderId="19" xfId="1" applyNumberFormat="1" applyBorder="1" applyAlignment="1">
      <alignment horizontal="center" vertical="top"/>
    </xf>
    <xf numFmtId="0" fontId="2" fillId="0" borderId="21" xfId="1" applyBorder="1" applyAlignment="1">
      <alignment horizontal="left" vertical="top"/>
    </xf>
    <xf numFmtId="0" fontId="2" fillId="0" borderId="21" xfId="1" applyBorder="1" applyAlignment="1">
      <alignment horizontal="center" vertical="top"/>
    </xf>
    <xf numFmtId="4" fontId="2" fillId="0" borderId="21" xfId="1" applyNumberFormat="1" applyBorder="1" applyAlignment="1">
      <alignment horizontal="center" vertical="top"/>
    </xf>
    <xf numFmtId="0" fontId="2" fillId="0" borderId="19" xfId="1" applyBorder="1" applyAlignment="1">
      <alignment vertical="top"/>
    </xf>
    <xf numFmtId="0" fontId="2" fillId="0" borderId="21" xfId="1" applyBorder="1" applyAlignment="1">
      <alignment vertical="top"/>
    </xf>
    <xf numFmtId="0" fontId="2" fillId="0" borderId="17" xfId="1" applyBorder="1" applyAlignment="1">
      <alignment vertical="top"/>
    </xf>
    <xf numFmtId="4" fontId="2" fillId="0" borderId="17" xfId="1" applyNumberFormat="1" applyBorder="1" applyAlignment="1">
      <alignment vertical="top"/>
    </xf>
    <xf numFmtId="0" fontId="2" fillId="0" borderId="24" xfId="1" quotePrefix="1" applyBorder="1" applyAlignment="1">
      <alignment horizontal="center" vertical="top"/>
    </xf>
    <xf numFmtId="4" fontId="2" fillId="0" borderId="24" xfId="1" applyNumberFormat="1" applyBorder="1" applyAlignment="1">
      <alignment horizontal="center" vertical="top"/>
    </xf>
    <xf numFmtId="0" fontId="2" fillId="0" borderId="20" xfId="1" applyBorder="1" applyAlignment="1">
      <alignment vertical="top"/>
    </xf>
    <xf numFmtId="4" fontId="2" fillId="0" borderId="16" xfId="1" applyNumberFormat="1" applyBorder="1" applyAlignment="1">
      <alignment horizontal="center" vertical="top"/>
    </xf>
    <xf numFmtId="0" fontId="2" fillId="0" borderId="22" xfId="1" applyBorder="1" applyAlignment="1">
      <alignment vertical="top"/>
    </xf>
    <xf numFmtId="4" fontId="2" fillId="0" borderId="25" xfId="1" applyNumberFormat="1" applyBorder="1" applyAlignment="1">
      <alignment horizontal="center" vertical="top"/>
    </xf>
    <xf numFmtId="0" fontId="2" fillId="0" borderId="24" xfId="1" applyBorder="1" applyAlignment="1">
      <alignment horizontal="center" vertical="top"/>
    </xf>
    <xf numFmtId="0" fontId="2" fillId="0" borderId="20" xfId="1" applyBorder="1" applyAlignment="1">
      <alignment horizontal="left" vertical="top" wrapText="1"/>
    </xf>
    <xf numFmtId="0" fontId="2" fillId="0" borderId="24" xfId="1" applyBorder="1" applyAlignment="1">
      <alignment vertical="top"/>
    </xf>
    <xf numFmtId="0" fontId="2" fillId="0" borderId="16" xfId="1" applyBorder="1" applyAlignment="1">
      <alignment horizontal="center" vertical="top"/>
    </xf>
    <xf numFmtId="0" fontId="2" fillId="0" borderId="26" xfId="1" applyBorder="1" applyAlignment="1">
      <alignment horizontal="center" vertical="top"/>
    </xf>
    <xf numFmtId="0" fontId="2" fillId="0" borderId="25" xfId="1" applyBorder="1" applyAlignment="1">
      <alignment horizontal="center" vertical="top"/>
    </xf>
    <xf numFmtId="4" fontId="2" fillId="0" borderId="19" xfId="1" applyNumberFormat="1" applyBorder="1" applyAlignment="1">
      <alignment vertical="top"/>
    </xf>
    <xf numFmtId="0" fontId="8" fillId="0" borderId="17" xfId="1" applyFont="1" applyBorder="1" applyAlignment="1" applyProtection="1">
      <alignment vertical="top"/>
      <protection locked="0"/>
    </xf>
    <xf numFmtId="0" fontId="8" fillId="0" borderId="20" xfId="1" applyFont="1" applyBorder="1" applyAlignment="1" applyProtection="1">
      <alignment horizontal="left" vertical="top" wrapText="1"/>
      <protection locked="0"/>
    </xf>
    <xf numFmtId="0" fontId="8" fillId="0" borderId="19" xfId="1" applyFont="1" applyBorder="1" applyAlignment="1" applyProtection="1">
      <alignment horizontal="center" vertical="top"/>
      <protection locked="0"/>
    </xf>
    <xf numFmtId="0" fontId="10" fillId="0" borderId="16" xfId="1" applyFont="1" applyBorder="1" applyAlignment="1" applyProtection="1">
      <alignment horizontal="left" vertical="top"/>
      <protection locked="0"/>
    </xf>
    <xf numFmtId="0" fontId="2" fillId="0" borderId="20" xfId="1" applyBorder="1" applyAlignment="1">
      <alignment horizontal="left" vertical="top"/>
    </xf>
    <xf numFmtId="0" fontId="2" fillId="0" borderId="27" xfId="1" applyBorder="1" applyAlignment="1">
      <alignment horizontal="center" vertical="top"/>
    </xf>
    <xf numFmtId="0" fontId="2" fillId="0" borderId="20" xfId="1" applyBorder="1" applyAlignment="1">
      <alignment vertical="top" wrapText="1"/>
    </xf>
    <xf numFmtId="0" fontId="8" fillId="0" borderId="20" xfId="1" applyFont="1" applyBorder="1" applyAlignment="1" applyProtection="1">
      <alignment vertical="top"/>
      <protection locked="0"/>
    </xf>
    <xf numFmtId="0" fontId="2" fillId="0" borderId="23" xfId="1" applyBorder="1" applyAlignment="1">
      <alignment horizontal="center" vertical="top"/>
    </xf>
    <xf numFmtId="0" fontId="2" fillId="0" borderId="27" xfId="1" applyBorder="1" applyAlignment="1">
      <alignment vertical="top"/>
    </xf>
    <xf numFmtId="0" fontId="2" fillId="0" borderId="16" xfId="1" applyBorder="1" applyAlignment="1">
      <alignment vertical="top"/>
    </xf>
    <xf numFmtId="0" fontId="2" fillId="0" borderId="1" xfId="1" applyBorder="1" applyAlignment="1">
      <alignment horizontal="center" vertical="top"/>
    </xf>
    <xf numFmtId="0" fontId="2" fillId="0" borderId="7" xfId="1" applyBorder="1" applyAlignment="1">
      <alignment horizontal="center" vertical="top"/>
    </xf>
    <xf numFmtId="0" fontId="2" fillId="0" borderId="3" xfId="1" applyBorder="1" applyAlignment="1">
      <alignment horizontal="center" vertical="top"/>
    </xf>
    <xf numFmtId="4" fontId="2" fillId="0" borderId="30" xfId="1" applyNumberFormat="1" applyBorder="1" applyAlignment="1">
      <alignment horizontal="center" vertical="top"/>
    </xf>
    <xf numFmtId="0" fontId="2" fillId="0" borderId="17" xfId="1" applyBorder="1" applyAlignment="1">
      <alignment horizontal="left" vertical="top"/>
    </xf>
    <xf numFmtId="0" fontId="2" fillId="0" borderId="29" xfId="1" applyBorder="1" applyAlignment="1">
      <alignment horizontal="center" vertical="top"/>
    </xf>
    <xf numFmtId="0" fontId="8" fillId="0" borderId="11" xfId="1" applyFont="1" applyBorder="1" applyAlignment="1">
      <alignment horizontal="center" vertical="top"/>
    </xf>
    <xf numFmtId="3" fontId="2" fillId="0" borderId="16" xfId="1" applyNumberFormat="1" applyBorder="1" applyAlignment="1">
      <alignment horizontal="center" vertical="top"/>
    </xf>
    <xf numFmtId="4" fontId="5" fillId="4" borderId="12" xfId="1" applyNumberFormat="1" applyFont="1" applyFill="1" applyBorder="1" applyAlignment="1">
      <alignment horizontal="center" vertical="top"/>
    </xf>
    <xf numFmtId="0" fontId="2" fillId="0" borderId="27" xfId="1" applyBorder="1" applyAlignment="1">
      <alignment horizontal="left" vertical="top"/>
    </xf>
    <xf numFmtId="0" fontId="2" fillId="0" borderId="26" xfId="1" applyBorder="1" applyAlignment="1">
      <alignment horizontal="left" vertical="top"/>
    </xf>
    <xf numFmtId="0" fontId="2" fillId="0" borderId="26" xfId="1" applyBorder="1" applyAlignment="1">
      <alignment vertical="top"/>
    </xf>
    <xf numFmtId="0" fontId="2" fillId="0" borderId="27" xfId="1" applyBorder="1" applyAlignment="1">
      <alignment horizontal="left" vertical="top" wrapText="1"/>
    </xf>
    <xf numFmtId="0" fontId="8" fillId="0" borderId="23" xfId="1" applyFont="1" applyBorder="1" applyAlignment="1">
      <alignment horizontal="left" vertical="top" wrapText="1"/>
    </xf>
    <xf numFmtId="0" fontId="8" fillId="4" borderId="12" xfId="1" applyFont="1" applyFill="1" applyBorder="1" applyAlignment="1">
      <alignment horizontal="center" vertical="top"/>
    </xf>
    <xf numFmtId="0" fontId="4" fillId="3" borderId="10" xfId="1" applyFont="1" applyFill="1" applyBorder="1" applyAlignment="1">
      <alignment vertical="top"/>
    </xf>
    <xf numFmtId="164" fontId="4" fillId="0" borderId="0" xfId="5" applyFont="1" applyFill="1" applyBorder="1" applyAlignment="1">
      <alignment horizontal="center" vertical="top"/>
    </xf>
    <xf numFmtId="49" fontId="8" fillId="0" borderId="0" xfId="0" applyNumberFormat="1" applyFont="1" applyAlignment="1">
      <alignment horizontal="left" vertical="top" wrapText="1"/>
    </xf>
    <xf numFmtId="49" fontId="11" fillId="0" borderId="0" xfId="1" applyNumberFormat="1" applyFont="1" applyAlignment="1">
      <alignment horizontal="left" vertical="top"/>
    </xf>
    <xf numFmtId="49" fontId="8" fillId="2" borderId="12" xfId="1" applyNumberFormat="1" applyFont="1" applyFill="1" applyBorder="1" applyAlignment="1">
      <alignment horizontal="center" vertical="top"/>
    </xf>
    <xf numFmtId="49" fontId="2" fillId="0" borderId="17" xfId="1" quotePrefix="1" applyNumberFormat="1" applyBorder="1" applyAlignment="1">
      <alignment horizontal="left" vertical="top" wrapText="1"/>
    </xf>
    <xf numFmtId="49" fontId="2" fillId="0" borderId="19" xfId="1" quotePrefix="1" applyNumberFormat="1" applyBorder="1" applyAlignment="1">
      <alignment horizontal="left" vertical="top"/>
    </xf>
    <xf numFmtId="49" fontId="2" fillId="0" borderId="21" xfId="1" quotePrefix="1" applyNumberFormat="1" applyBorder="1" applyAlignment="1">
      <alignment horizontal="left" vertical="top"/>
    </xf>
    <xf numFmtId="49" fontId="2" fillId="0" borderId="21" xfId="1" quotePrefix="1" applyNumberFormat="1" applyBorder="1" applyAlignment="1">
      <alignment horizontal="left" vertical="top" wrapText="1"/>
    </xf>
    <xf numFmtId="49" fontId="2" fillId="0" borderId="12" xfId="1" quotePrefix="1" applyNumberFormat="1" applyBorder="1" applyAlignment="1">
      <alignment horizontal="left" vertical="top"/>
    </xf>
    <xf numFmtId="49" fontId="8" fillId="4" borderId="12" xfId="1" applyNumberFormat="1" applyFont="1" applyFill="1" applyBorder="1" applyAlignment="1">
      <alignment horizontal="center" vertical="top" wrapText="1"/>
    </xf>
    <xf numFmtId="49" fontId="2" fillId="0" borderId="17" xfId="1" quotePrefix="1" applyNumberFormat="1" applyBorder="1" applyAlignment="1">
      <alignment horizontal="left" vertical="top"/>
    </xf>
    <xf numFmtId="49" fontId="2" fillId="0" borderId="28" xfId="1" quotePrefix="1" applyNumberFormat="1" applyBorder="1" applyAlignment="1">
      <alignment horizontal="left" vertical="top"/>
    </xf>
    <xf numFmtId="49" fontId="2" fillId="0" borderId="17" xfId="1" applyNumberFormat="1" applyBorder="1" applyAlignment="1">
      <alignment horizontal="left" vertical="top"/>
    </xf>
    <xf numFmtId="49" fontId="2" fillId="0" borderId="7" xfId="1" quotePrefix="1" applyNumberFormat="1" applyBorder="1" applyAlignment="1">
      <alignment horizontal="left" vertical="top"/>
    </xf>
    <xf numFmtId="49" fontId="6" fillId="4" borderId="12" xfId="1" quotePrefix="1" applyNumberFormat="1" applyFont="1" applyFill="1" applyBorder="1" applyAlignment="1">
      <alignment horizontal="left" vertical="top" wrapText="1"/>
    </xf>
    <xf numFmtId="49" fontId="6" fillId="4" borderId="12" xfId="1" quotePrefix="1" applyNumberFormat="1" applyFont="1" applyFill="1" applyBorder="1" applyAlignment="1">
      <alignment horizontal="left" vertical="top"/>
    </xf>
    <xf numFmtId="49" fontId="2" fillId="0" borderId="12" xfId="1" applyNumberFormat="1" applyBorder="1" applyAlignment="1">
      <alignment horizontal="left" vertical="top"/>
    </xf>
    <xf numFmtId="49" fontId="2" fillId="0" borderId="0" xfId="1" applyNumberFormat="1" applyAlignment="1">
      <alignment horizontal="left" vertical="top"/>
    </xf>
    <xf numFmtId="0" fontId="8" fillId="4" borderId="7" xfId="1" applyFont="1" applyFill="1" applyBorder="1" applyAlignment="1">
      <alignment horizontal="center" vertical="top"/>
    </xf>
    <xf numFmtId="0" fontId="2" fillId="0" borderId="14" xfId="1" applyBorder="1" applyAlignment="1">
      <alignment horizontal="center" vertical="top"/>
    </xf>
    <xf numFmtId="4" fontId="2" fillId="0" borderId="14" xfId="1" applyNumberFormat="1" applyBorder="1" applyAlignment="1">
      <alignment horizontal="center" vertical="top"/>
    </xf>
    <xf numFmtId="0" fontId="8" fillId="0" borderId="23" xfId="1" applyFont="1" applyBorder="1" applyAlignment="1">
      <alignment vertical="top" wrapText="1"/>
    </xf>
    <xf numFmtId="0" fontId="2" fillId="0" borderId="26" xfId="1" applyBorder="1" applyAlignment="1">
      <alignment horizontal="left" vertical="top" wrapText="1"/>
    </xf>
    <xf numFmtId="49" fontId="2" fillId="0" borderId="1" xfId="1" applyNumberFormat="1" applyBorder="1" applyAlignment="1">
      <alignment horizontal="left" vertical="top" wrapText="1"/>
    </xf>
    <xf numFmtId="0" fontId="8" fillId="0" borderId="15" xfId="1" applyFont="1" applyBorder="1" applyAlignment="1">
      <alignment horizontal="left" vertical="top"/>
    </xf>
    <xf numFmtId="49" fontId="2" fillId="0" borderId="12" xfId="1" quotePrefix="1" applyNumberFormat="1" applyBorder="1" applyAlignment="1">
      <alignment horizontal="left" vertical="top" wrapText="1"/>
    </xf>
    <xf numFmtId="49" fontId="2" fillId="0" borderId="3" xfId="1" quotePrefix="1" applyNumberFormat="1" applyBorder="1" applyAlignment="1">
      <alignment vertical="top" wrapText="1"/>
    </xf>
    <xf numFmtId="0" fontId="8" fillId="0" borderId="4" xfId="1" applyFont="1" applyBorder="1" applyAlignment="1">
      <alignment horizontal="left" vertical="top"/>
    </xf>
    <xf numFmtId="4" fontId="8" fillId="0" borderId="7" xfId="1" applyNumberFormat="1" applyFont="1" applyBorder="1" applyAlignment="1">
      <alignment horizontal="center" vertical="top"/>
    </xf>
    <xf numFmtId="4" fontId="2" fillId="0" borderId="3" xfId="1" quotePrefix="1" applyNumberFormat="1" applyBorder="1" applyAlignment="1">
      <alignment horizontal="center" vertical="top"/>
    </xf>
    <xf numFmtId="49" fontId="2" fillId="0" borderId="1" xfId="1" quotePrefix="1" applyNumberFormat="1" applyBorder="1" applyAlignment="1">
      <alignment vertical="top" wrapText="1"/>
    </xf>
    <xf numFmtId="9" fontId="2" fillId="0" borderId="14" xfId="1" applyNumberFormat="1" applyBorder="1" applyAlignment="1">
      <alignment horizontal="center" vertical="top"/>
    </xf>
    <xf numFmtId="0" fontId="8" fillId="0" borderId="2" xfId="1" applyFont="1" applyBorder="1" applyAlignment="1">
      <alignment vertical="top" wrapText="1"/>
    </xf>
    <xf numFmtId="9" fontId="2" fillId="0" borderId="10" xfId="1" applyNumberFormat="1" applyBorder="1" applyAlignment="1">
      <alignment horizontal="center" vertical="top"/>
    </xf>
    <xf numFmtId="0" fontId="8" fillId="0" borderId="9" xfId="1" applyFont="1" applyBorder="1" applyAlignment="1">
      <alignment horizontal="left" vertical="top" wrapText="1"/>
    </xf>
    <xf numFmtId="4" fontId="2" fillId="0" borderId="32" xfId="1" applyNumberFormat="1" applyBorder="1" applyAlignment="1">
      <alignment horizontal="center" vertical="top"/>
    </xf>
    <xf numFmtId="0" fontId="4" fillId="4" borderId="3" xfId="1" applyFont="1" applyFill="1" applyBorder="1" applyAlignment="1">
      <alignment vertical="top"/>
    </xf>
    <xf numFmtId="0" fontId="14" fillId="4" borderId="12" xfId="1" applyFont="1" applyFill="1" applyBorder="1" applyAlignment="1">
      <alignment horizontal="left" vertical="top"/>
    </xf>
    <xf numFmtId="0" fontId="4" fillId="4" borderId="12" xfId="1" applyFont="1" applyFill="1" applyBorder="1" applyAlignment="1">
      <alignment horizontal="center" vertical="top" wrapText="1"/>
    </xf>
    <xf numFmtId="0" fontId="4" fillId="4" borderId="12" xfId="1" applyFont="1" applyFill="1" applyBorder="1" applyAlignment="1">
      <alignment horizontal="center" vertical="top"/>
    </xf>
    <xf numFmtId="4" fontId="4" fillId="4" borderId="12" xfId="1" applyNumberFormat="1" applyFont="1" applyFill="1" applyBorder="1" applyAlignment="1">
      <alignment horizontal="center" vertical="top"/>
    </xf>
    <xf numFmtId="49" fontId="4" fillId="4" borderId="12" xfId="1" quotePrefix="1" applyNumberFormat="1" applyFont="1" applyFill="1" applyBorder="1" applyAlignment="1">
      <alignment horizontal="left" vertical="top" wrapText="1"/>
    </xf>
    <xf numFmtId="0" fontId="4" fillId="4" borderId="7" xfId="1" applyFont="1" applyFill="1" applyBorder="1" applyAlignment="1">
      <alignment horizontal="center" vertical="top"/>
    </xf>
    <xf numFmtId="0" fontId="14" fillId="4" borderId="2" xfId="1" applyFont="1" applyFill="1" applyBorder="1" applyAlignment="1">
      <alignment vertical="top"/>
    </xf>
    <xf numFmtId="0" fontId="4" fillId="4" borderId="10" xfId="1" applyFont="1" applyFill="1" applyBorder="1" applyAlignment="1">
      <alignment horizontal="center" vertical="top"/>
    </xf>
    <xf numFmtId="0" fontId="4" fillId="4" borderId="1" xfId="1" applyFont="1" applyFill="1" applyBorder="1" applyAlignment="1">
      <alignment horizontal="center" vertical="top"/>
    </xf>
    <xf numFmtId="4" fontId="4" fillId="4" borderId="1" xfId="1" applyNumberFormat="1" applyFont="1" applyFill="1" applyBorder="1" applyAlignment="1">
      <alignment horizontal="center" vertical="top"/>
    </xf>
    <xf numFmtId="4" fontId="4" fillId="4" borderId="10" xfId="1" applyNumberFormat="1" applyFont="1" applyFill="1" applyBorder="1" applyAlignment="1">
      <alignment horizontal="center" vertical="top"/>
    </xf>
    <xf numFmtId="49" fontId="4" fillId="4" borderId="1" xfId="1" quotePrefix="1" applyNumberFormat="1" applyFont="1" applyFill="1" applyBorder="1" applyAlignment="1">
      <alignment horizontal="left" vertical="top" wrapText="1"/>
    </xf>
    <xf numFmtId="0" fontId="2" fillId="0" borderId="11" xfId="1" applyBorder="1" applyAlignment="1">
      <alignment horizontal="center" vertical="top" wrapText="1"/>
    </xf>
    <xf numFmtId="49" fontId="2" fillId="0" borderId="10" xfId="1" applyNumberFormat="1" applyBorder="1" applyAlignment="1">
      <alignment horizontal="left" vertical="top"/>
    </xf>
    <xf numFmtId="0" fontId="8" fillId="2" borderId="12" xfId="1" applyFont="1" applyFill="1" applyBorder="1" applyAlignment="1">
      <alignment horizontal="center" vertical="top" wrapText="1"/>
    </xf>
    <xf numFmtId="0" fontId="9" fillId="0" borderId="0" xfId="0" applyFont="1" applyAlignment="1">
      <alignment vertical="top" wrapText="1"/>
    </xf>
    <xf numFmtId="0" fontId="8" fillId="0" borderId="8" xfId="1" applyFont="1" applyBorder="1" applyAlignment="1">
      <alignment horizontal="center" vertical="top"/>
    </xf>
    <xf numFmtId="0" fontId="8" fillId="0" borderId="1" xfId="1" applyFont="1" applyBorder="1" applyAlignment="1">
      <alignment horizontal="center" vertical="top"/>
    </xf>
    <xf numFmtId="0" fontId="8" fillId="0" borderId="10" xfId="1" applyFont="1" applyBorder="1" applyAlignment="1">
      <alignment horizontal="center" vertical="top"/>
    </xf>
    <xf numFmtId="0" fontId="8" fillId="0" borderId="3" xfId="1" applyFont="1" applyBorder="1" applyAlignment="1">
      <alignment horizontal="center" vertical="top"/>
    </xf>
    <xf numFmtId="0" fontId="8" fillId="0" borderId="8" xfId="1" applyFont="1" applyBorder="1" applyAlignment="1">
      <alignment horizontal="left" vertical="top"/>
    </xf>
    <xf numFmtId="49" fontId="8" fillId="0" borderId="3" xfId="1" applyNumberFormat="1" applyFont="1" applyBorder="1" applyAlignment="1">
      <alignment horizontal="center" vertical="top" wrapText="1"/>
    </xf>
    <xf numFmtId="49" fontId="2" fillId="0" borderId="3" xfId="1" quotePrefix="1" applyNumberFormat="1" applyBorder="1" applyAlignment="1">
      <alignment horizontal="left" vertical="top" wrapText="1"/>
    </xf>
    <xf numFmtId="0" fontId="4" fillId="0" borderId="0" xfId="1" applyFont="1" applyAlignment="1">
      <alignment vertical="top"/>
    </xf>
    <xf numFmtId="0" fontId="4" fillId="0" borderId="14" xfId="1" applyFont="1" applyBorder="1" applyAlignment="1">
      <alignment vertical="top"/>
    </xf>
    <xf numFmtId="0" fontId="8" fillId="0" borderId="2" xfId="1" applyFont="1" applyBorder="1" applyAlignment="1">
      <alignment vertical="top"/>
    </xf>
    <xf numFmtId="4" fontId="2" fillId="0" borderId="10" xfId="1" applyNumberFormat="1" applyBorder="1" applyAlignment="1">
      <alignment horizontal="center" vertical="top"/>
    </xf>
    <xf numFmtId="0" fontId="4" fillId="0" borderId="10" xfId="1" applyFont="1" applyBorder="1" applyAlignment="1">
      <alignment vertical="top"/>
    </xf>
    <xf numFmtId="0" fontId="2" fillId="0" borderId="8" xfId="1" applyBorder="1" applyAlignment="1">
      <alignment horizontal="left" vertical="top"/>
    </xf>
    <xf numFmtId="4" fontId="2" fillId="0" borderId="0" xfId="1" applyNumberFormat="1" applyAlignment="1">
      <alignment horizontal="center" vertical="top"/>
    </xf>
    <xf numFmtId="0" fontId="2" fillId="0" borderId="4" xfId="1" applyBorder="1" applyAlignment="1">
      <alignment horizontal="left" vertical="top"/>
    </xf>
    <xf numFmtId="4" fontId="2" fillId="0" borderId="11" xfId="1" applyNumberFormat="1" applyBorder="1" applyAlignment="1">
      <alignment horizontal="center" vertical="top"/>
    </xf>
    <xf numFmtId="0" fontId="4" fillId="0" borderId="11" xfId="1" applyFont="1" applyBorder="1" applyAlignment="1">
      <alignment vertical="top"/>
    </xf>
    <xf numFmtId="49" fontId="2" fillId="0" borderId="19" xfId="1" quotePrefix="1" applyNumberFormat="1" applyBorder="1" applyAlignment="1">
      <alignment horizontal="left" vertical="top" wrapText="1"/>
    </xf>
    <xf numFmtId="0" fontId="2" fillId="0" borderId="1" xfId="1" quotePrefix="1" applyBorder="1" applyAlignment="1">
      <alignment horizontal="center" vertical="top"/>
    </xf>
    <xf numFmtId="49" fontId="2" fillId="0" borderId="1" xfId="1" quotePrefix="1" applyNumberFormat="1" applyBorder="1" applyAlignment="1">
      <alignment horizontal="left" vertical="top"/>
    </xf>
    <xf numFmtId="49" fontId="2" fillId="0" borderId="7" xfId="1" quotePrefix="1" applyNumberFormat="1" applyBorder="1" applyAlignment="1">
      <alignment horizontal="left" vertical="top" wrapText="1"/>
    </xf>
    <xf numFmtId="49" fontId="2" fillId="0" borderId="3" xfId="1" quotePrefix="1" applyNumberFormat="1" applyBorder="1" applyAlignment="1">
      <alignment horizontal="left" vertical="top"/>
    </xf>
    <xf numFmtId="0" fontId="8" fillId="0" borderId="23" xfId="1" applyFont="1" applyBorder="1" applyAlignment="1">
      <alignment vertical="top"/>
    </xf>
    <xf numFmtId="0" fontId="2" fillId="0" borderId="17" xfId="1" quotePrefix="1" applyBorder="1" applyAlignment="1">
      <alignment horizontal="center" vertical="top"/>
    </xf>
    <xf numFmtId="0" fontId="2" fillId="0" borderId="19" xfId="1" quotePrefix="1" applyBorder="1" applyAlignment="1">
      <alignment horizontal="center" vertical="top"/>
    </xf>
    <xf numFmtId="49" fontId="2" fillId="0" borderId="19" xfId="1" applyNumberFormat="1" applyBorder="1" applyAlignment="1">
      <alignment vertical="top" wrapText="1"/>
    </xf>
    <xf numFmtId="49" fontId="2" fillId="0" borderId="28" xfId="1" quotePrefix="1" applyNumberFormat="1" applyBorder="1" applyAlignment="1">
      <alignment horizontal="left" vertical="top" wrapText="1"/>
    </xf>
    <xf numFmtId="0" fontId="8" fillId="0" borderId="2" xfId="1" applyFont="1" applyBorder="1" applyAlignment="1">
      <alignment horizontal="left" vertical="top" wrapText="1"/>
    </xf>
    <xf numFmtId="0" fontId="2" fillId="0" borderId="1" xfId="1" applyBorder="1" applyAlignment="1">
      <alignment horizontal="left" vertical="top"/>
    </xf>
    <xf numFmtId="49" fontId="2" fillId="0" borderId="1" xfId="1" quotePrefix="1" applyNumberFormat="1" applyBorder="1" applyAlignment="1">
      <alignment horizontal="left" vertical="top" wrapText="1"/>
    </xf>
    <xf numFmtId="0" fontId="2" fillId="0" borderId="4" xfId="1" applyBorder="1" applyAlignment="1">
      <alignment horizontal="left" vertical="top" wrapText="1"/>
    </xf>
    <xf numFmtId="0" fontId="2" fillId="0" borderId="3" xfId="1" applyBorder="1" applyAlignment="1">
      <alignment horizontal="left" vertical="top"/>
    </xf>
    <xf numFmtId="0" fontId="8" fillId="0" borderId="2" xfId="1" applyFont="1" applyBorder="1" applyAlignment="1">
      <alignment horizontal="left" vertical="top"/>
    </xf>
    <xf numFmtId="0" fontId="2" fillId="0" borderId="0" xfId="1" quotePrefix="1" applyAlignment="1">
      <alignment horizontal="center" vertical="top"/>
    </xf>
    <xf numFmtId="49" fontId="2" fillId="0" borderId="8" xfId="1" quotePrefix="1" applyNumberFormat="1" applyBorder="1" applyAlignment="1">
      <alignment horizontal="left" vertical="top" wrapText="1"/>
    </xf>
    <xf numFmtId="49" fontId="8" fillId="0" borderId="8" xfId="1" applyNumberFormat="1" applyFont="1" applyBorder="1" applyAlignment="1">
      <alignment horizontal="center" vertical="top" wrapText="1"/>
    </xf>
    <xf numFmtId="49" fontId="2" fillId="0" borderId="8" xfId="1" quotePrefix="1" applyNumberFormat="1" applyBorder="1" applyAlignment="1">
      <alignment horizontal="left" vertical="top"/>
    </xf>
    <xf numFmtId="0" fontId="15" fillId="0" borderId="0" xfId="1" applyFont="1" applyAlignment="1">
      <alignment vertical="top"/>
    </xf>
    <xf numFmtId="0" fontId="15" fillId="0" borderId="10" xfId="1" applyFont="1" applyBorder="1" applyAlignment="1">
      <alignment vertical="top"/>
    </xf>
    <xf numFmtId="0" fontId="15" fillId="0" borderId="11" xfId="1" applyFont="1" applyBorder="1" applyAlignment="1">
      <alignment vertical="top"/>
    </xf>
    <xf numFmtId="0" fontId="2" fillId="0" borderId="12" xfId="1" applyBorder="1" applyAlignment="1">
      <alignment horizontal="center" vertical="top" wrapText="1"/>
    </xf>
    <xf numFmtId="0" fontId="4" fillId="3" borderId="0" xfId="1" applyFont="1" applyFill="1" applyAlignment="1">
      <alignment vertical="top"/>
    </xf>
    <xf numFmtId="0" fontId="8" fillId="0" borderId="1" xfId="1" applyFont="1" applyBorder="1" applyAlignment="1">
      <alignment horizontal="center" vertical="center"/>
    </xf>
    <xf numFmtId="0" fontId="2" fillId="0" borderId="12" xfId="1" quotePrefix="1" applyBorder="1" applyAlignment="1">
      <alignment horizontal="center" vertical="top"/>
    </xf>
    <xf numFmtId="9" fontId="2" fillId="0" borderId="11" xfId="1" applyNumberFormat="1" applyBorder="1" applyAlignment="1">
      <alignment horizontal="center" vertical="top"/>
    </xf>
    <xf numFmtId="0" fontId="8" fillId="0" borderId="10" xfId="1" applyFont="1" applyBorder="1" applyAlignment="1">
      <alignment vertical="top" wrapText="1"/>
    </xf>
    <xf numFmtId="49" fontId="2" fillId="0" borderId="1" xfId="1" applyNumberFormat="1" applyBorder="1" applyAlignment="1">
      <alignment horizontal="left" vertical="top"/>
    </xf>
    <xf numFmtId="49" fontId="10" fillId="0" borderId="10" xfId="6" applyNumberFormat="1" applyFont="1" applyBorder="1" applyAlignment="1" applyProtection="1">
      <alignment horizontal="left" vertical="top"/>
      <protection hidden="1"/>
    </xf>
    <xf numFmtId="0" fontId="2" fillId="0" borderId="0" xfId="1" applyAlignment="1">
      <alignment horizontal="left" vertical="top" wrapText="1"/>
    </xf>
    <xf numFmtId="49" fontId="10" fillId="0" borderId="0" xfId="6" applyNumberFormat="1" applyFont="1" applyAlignment="1" applyProtection="1">
      <alignment horizontal="left" vertical="top"/>
      <protection hidden="1"/>
    </xf>
    <xf numFmtId="0" fontId="2" fillId="0" borderId="0" xfId="1" applyAlignment="1">
      <alignment horizontal="left" vertical="top"/>
    </xf>
    <xf numFmtId="49" fontId="2" fillId="0" borderId="7" xfId="1" quotePrefix="1" applyNumberFormat="1" applyBorder="1" applyAlignment="1">
      <alignment vertical="top" wrapText="1"/>
    </xf>
    <xf numFmtId="49" fontId="13" fillId="0" borderId="0" xfId="6" applyNumberFormat="1" applyFont="1" applyAlignment="1" applyProtection="1">
      <alignment horizontal="left" vertical="top"/>
      <protection hidden="1"/>
    </xf>
    <xf numFmtId="0" fontId="2" fillId="0" borderId="11" xfId="1" applyBorder="1" applyAlignment="1">
      <alignment horizontal="left" vertical="top"/>
    </xf>
    <xf numFmtId="0" fontId="2" fillId="0" borderId="11" xfId="1" quotePrefix="1" applyBorder="1" applyAlignment="1">
      <alignment horizontal="center" vertical="top"/>
    </xf>
    <xf numFmtId="0" fontId="2" fillId="4" borderId="12" xfId="1" applyFill="1" applyBorder="1" applyAlignment="1">
      <alignment horizontal="center" vertical="top"/>
    </xf>
    <xf numFmtId="0" fontId="2" fillId="4" borderId="0" xfId="1" applyFill="1" applyAlignment="1">
      <alignment vertical="top"/>
    </xf>
    <xf numFmtId="3" fontId="2" fillId="0" borderId="17" xfId="1" quotePrefix="1" applyNumberFormat="1" applyBorder="1" applyAlignment="1">
      <alignment horizontal="center" vertical="top"/>
    </xf>
    <xf numFmtId="3" fontId="2" fillId="0" borderId="19" xfId="1" applyNumberFormat="1" applyBorder="1" applyAlignment="1">
      <alignment horizontal="center" vertical="top"/>
    </xf>
    <xf numFmtId="49" fontId="2" fillId="0" borderId="19" xfId="1" applyNumberFormat="1" applyBorder="1" applyAlignment="1">
      <alignment horizontal="left" vertical="top"/>
    </xf>
    <xf numFmtId="0" fontId="2" fillId="0" borderId="31" xfId="1" applyBorder="1" applyAlignment="1">
      <alignment vertical="top" wrapText="1"/>
    </xf>
    <xf numFmtId="0" fontId="2" fillId="0" borderId="28" xfId="1" quotePrefix="1" applyBorder="1" applyAlignment="1">
      <alignment horizontal="center" vertical="top"/>
    </xf>
    <xf numFmtId="3" fontId="2" fillId="0" borderId="29" xfId="1" applyNumberFormat="1" applyBorder="1" applyAlignment="1">
      <alignment horizontal="center" vertical="top"/>
    </xf>
    <xf numFmtId="4" fontId="2" fillId="0" borderId="28" xfId="1" applyNumberFormat="1" applyBorder="1" applyAlignment="1">
      <alignment horizontal="center" vertical="top"/>
    </xf>
    <xf numFmtId="4" fontId="2" fillId="0" borderId="29" xfId="1" applyNumberFormat="1" applyBorder="1" applyAlignment="1">
      <alignment horizontal="center" vertical="top"/>
    </xf>
    <xf numFmtId="0" fontId="6" fillId="0" borderId="0" xfId="1" applyFont="1" applyAlignment="1">
      <alignment vertical="top"/>
    </xf>
    <xf numFmtId="49" fontId="2" fillId="0" borderId="17" xfId="1" quotePrefix="1" applyNumberFormat="1" applyBorder="1" applyAlignment="1" applyProtection="1">
      <alignment horizontal="left" vertical="top" wrapText="1"/>
      <protection locked="0"/>
    </xf>
    <xf numFmtId="0" fontId="2" fillId="0" borderId="31" xfId="1" applyBorder="1" applyAlignment="1">
      <alignment horizontal="left" vertical="top" wrapText="1"/>
    </xf>
    <xf numFmtId="0" fontId="2" fillId="0" borderId="28" xfId="1" applyBorder="1" applyAlignment="1">
      <alignment horizontal="left" vertical="top"/>
    </xf>
    <xf numFmtId="0" fontId="2" fillId="0" borderId="31" xfId="1" applyBorder="1" applyAlignment="1">
      <alignment vertical="top"/>
    </xf>
    <xf numFmtId="0" fontId="2" fillId="0" borderId="28" xfId="1" applyBorder="1" applyAlignment="1">
      <alignment vertical="top"/>
    </xf>
    <xf numFmtId="0" fontId="8" fillId="0" borderId="10" xfId="1" applyFont="1" applyBorder="1" applyAlignment="1">
      <alignment vertical="top"/>
    </xf>
    <xf numFmtId="0" fontId="2" fillId="0" borderId="10" xfId="1" quotePrefix="1" applyBorder="1" applyAlignment="1">
      <alignment horizontal="center" vertical="top"/>
    </xf>
    <xf numFmtId="0" fontId="8" fillId="0" borderId="27" xfId="1" applyFont="1" applyBorder="1" applyAlignment="1">
      <alignment vertical="top"/>
    </xf>
    <xf numFmtId="0" fontId="2" fillId="0" borderId="21" xfId="1" quotePrefix="1" applyBorder="1" applyAlignment="1">
      <alignment horizontal="center" vertical="top"/>
    </xf>
    <xf numFmtId="0" fontId="2" fillId="0" borderId="3" xfId="1" quotePrefix="1" applyBorder="1" applyAlignment="1">
      <alignment horizontal="center" vertical="top"/>
    </xf>
    <xf numFmtId="0" fontId="2" fillId="4" borderId="7" xfId="1" applyFill="1" applyBorder="1" applyAlignment="1">
      <alignment horizontal="center" vertical="top"/>
    </xf>
    <xf numFmtId="0" fontId="2" fillId="4" borderId="15" xfId="1" applyFill="1" applyBorder="1" applyAlignment="1">
      <alignment vertical="top"/>
    </xf>
    <xf numFmtId="0" fontId="2" fillId="4" borderId="14" xfId="1" applyFill="1" applyBorder="1" applyAlignment="1">
      <alignment horizontal="center" vertical="top"/>
    </xf>
    <xf numFmtId="0" fontId="2" fillId="4" borderId="12" xfId="1" quotePrefix="1" applyFill="1" applyBorder="1" applyAlignment="1">
      <alignment horizontal="center" vertical="top"/>
    </xf>
    <xf numFmtId="4" fontId="2" fillId="4" borderId="12" xfId="1" applyNumberFormat="1" applyFill="1" applyBorder="1" applyAlignment="1">
      <alignment horizontal="center" vertical="top"/>
    </xf>
    <xf numFmtId="4" fontId="2" fillId="4" borderId="14" xfId="1" applyNumberFormat="1" applyFill="1" applyBorder="1" applyAlignment="1">
      <alignment horizontal="center" vertical="top"/>
    </xf>
    <xf numFmtId="0" fontId="2" fillId="4" borderId="14" xfId="1" applyFill="1" applyBorder="1" applyAlignment="1">
      <alignment vertical="top"/>
    </xf>
    <xf numFmtId="0" fontId="8" fillId="0" borderId="8" xfId="1" applyFont="1" applyBorder="1" applyAlignment="1">
      <alignment horizontal="left" vertical="top" wrapText="1"/>
    </xf>
    <xf numFmtId="0" fontId="2" fillId="0" borderId="7" xfId="1" applyBorder="1" applyAlignment="1">
      <alignment horizontal="left" vertical="top"/>
    </xf>
    <xf numFmtId="0" fontId="8" fillId="0" borderId="12" xfId="1" applyFont="1" applyBorder="1" applyAlignment="1">
      <alignment horizontal="left" vertical="top"/>
    </xf>
    <xf numFmtId="0" fontId="2" fillId="4" borderId="12" xfId="1" applyFill="1" applyBorder="1" applyAlignment="1">
      <alignment vertical="top"/>
    </xf>
    <xf numFmtId="0" fontId="14" fillId="0" borderId="1" xfId="1" applyFont="1" applyBorder="1" applyAlignment="1">
      <alignment horizontal="center" vertical="top"/>
    </xf>
    <xf numFmtId="0" fontId="14" fillId="0" borderId="0" xfId="1" applyFont="1" applyAlignment="1">
      <alignment horizontal="left" vertical="top"/>
    </xf>
    <xf numFmtId="0" fontId="4" fillId="0" borderId="1" xfId="1" applyFont="1" applyBorder="1" applyAlignment="1">
      <alignment horizontal="center" vertical="top"/>
    </xf>
    <xf numFmtId="0" fontId="14" fillId="0" borderId="7" xfId="1" applyFont="1" applyBorder="1" applyAlignment="1">
      <alignment horizontal="center" vertical="top"/>
    </xf>
    <xf numFmtId="0" fontId="4" fillId="0" borderId="7" xfId="1" applyFont="1" applyBorder="1" applyAlignment="1">
      <alignment horizontal="center" vertical="top"/>
    </xf>
    <xf numFmtId="0" fontId="4" fillId="0" borderId="0" xfId="1" applyFont="1" applyAlignment="1">
      <alignment horizontal="left" vertical="top"/>
    </xf>
    <xf numFmtId="0" fontId="4" fillId="0" borderId="0" xfId="1" quotePrefix="1" applyFont="1" applyAlignment="1">
      <alignment horizontal="center" vertical="top"/>
    </xf>
    <xf numFmtId="4" fontId="4" fillId="0" borderId="0" xfId="1" applyNumberFormat="1" applyFont="1" applyAlignment="1">
      <alignment horizontal="center" vertical="top"/>
    </xf>
    <xf numFmtId="4" fontId="4" fillId="0" borderId="7" xfId="1" applyNumberFormat="1" applyFont="1" applyBorder="1" applyAlignment="1">
      <alignment horizontal="center" vertical="top"/>
    </xf>
    <xf numFmtId="0" fontId="4" fillId="0" borderId="0" xfId="1" applyFont="1" applyAlignment="1">
      <alignment horizontal="left" vertical="top" wrapText="1"/>
    </xf>
    <xf numFmtId="4" fontId="4" fillId="0" borderId="19" xfId="1" applyNumberFormat="1" applyFont="1" applyBorder="1" applyAlignment="1">
      <alignment horizontal="center" vertical="top"/>
    </xf>
    <xf numFmtId="4" fontId="4" fillId="0" borderId="21" xfId="1" applyNumberFormat="1" applyFont="1" applyBorder="1" applyAlignment="1">
      <alignment horizontal="center" vertical="top"/>
    </xf>
    <xf numFmtId="0" fontId="2" fillId="0" borderId="1" xfId="1" applyBorder="1" applyAlignment="1">
      <alignment horizontal="center" vertical="top" wrapText="1"/>
    </xf>
    <xf numFmtId="4" fontId="2" fillId="0" borderId="5" xfId="1" applyNumberFormat="1" applyBorder="1" applyAlignment="1">
      <alignment horizontal="center" vertical="top"/>
    </xf>
    <xf numFmtId="4" fontId="2" fillId="0" borderId="2" xfId="1" applyNumberFormat="1" applyBorder="1" applyAlignment="1">
      <alignment horizontal="center" vertical="top"/>
    </xf>
    <xf numFmtId="0" fontId="2" fillId="0" borderId="12" xfId="1" applyBorder="1" applyAlignment="1">
      <alignment horizontal="left" vertical="top"/>
    </xf>
    <xf numFmtId="9" fontId="2" fillId="0" borderId="12" xfId="1" applyNumberFormat="1" applyBorder="1" applyAlignment="1">
      <alignment horizontal="center" vertical="top"/>
    </xf>
    <xf numFmtId="49" fontId="2" fillId="0" borderId="12" xfId="1" quotePrefix="1" applyNumberFormat="1" applyBorder="1" applyAlignment="1">
      <alignment vertical="top" wrapText="1"/>
    </xf>
    <xf numFmtId="0" fontId="15" fillId="0" borderId="0" xfId="1" applyFont="1" applyAlignment="1">
      <alignment horizontal="left" vertical="top" wrapText="1"/>
    </xf>
    <xf numFmtId="0" fontId="2" fillId="5" borderId="11" xfId="1" quotePrefix="1" applyFill="1" applyBorder="1" applyAlignment="1">
      <alignment horizontal="center" vertical="top"/>
    </xf>
    <xf numFmtId="9" fontId="2" fillId="0" borderId="3" xfId="1" applyNumberFormat="1" applyBorder="1" applyAlignment="1">
      <alignment horizontal="center" vertical="top"/>
    </xf>
    <xf numFmtId="0" fontId="8" fillId="0" borderId="8" xfId="1" applyFont="1" applyBorder="1" applyAlignment="1">
      <alignment vertical="top" wrapText="1"/>
    </xf>
    <xf numFmtId="0" fontId="2" fillId="0" borderId="7" xfId="1" quotePrefix="1" applyBorder="1" applyAlignment="1">
      <alignment horizontal="center" vertical="top"/>
    </xf>
    <xf numFmtId="4" fontId="2" fillId="0" borderId="1" xfId="1" quotePrefix="1" applyNumberFormat="1" applyBorder="1" applyAlignment="1">
      <alignment horizontal="center" vertical="top"/>
    </xf>
    <xf numFmtId="0" fontId="2" fillId="0" borderId="0" xfId="1" applyAlignment="1">
      <alignment horizontal="center" vertical="top" wrapText="1"/>
    </xf>
    <xf numFmtId="4" fontId="2" fillId="0" borderId="9" xfId="1" quotePrefix="1" applyNumberFormat="1" applyBorder="1" applyAlignment="1">
      <alignment horizontal="center" vertical="top"/>
    </xf>
    <xf numFmtId="4" fontId="2" fillId="0" borderId="12" xfId="1" quotePrefix="1" applyNumberFormat="1" applyBorder="1" applyAlignment="1">
      <alignment horizontal="center" vertical="top"/>
    </xf>
    <xf numFmtId="0" fontId="2" fillId="4" borderId="3" xfId="1" applyFill="1" applyBorder="1" applyAlignment="1">
      <alignment vertical="top"/>
    </xf>
    <xf numFmtId="4" fontId="2" fillId="4" borderId="3" xfId="1" applyNumberFormat="1" applyFill="1" applyBorder="1" applyAlignment="1">
      <alignment vertical="top"/>
    </xf>
    <xf numFmtId="49" fontId="2" fillId="0" borderId="7" xfId="1" applyNumberFormat="1" applyBorder="1" applyAlignment="1">
      <alignment horizontal="left" vertical="top"/>
    </xf>
    <xf numFmtId="0" fontId="2" fillId="4" borderId="1" xfId="1" applyFill="1" applyBorder="1" applyAlignment="1">
      <alignment horizontal="center" vertical="top"/>
    </xf>
    <xf numFmtId="4" fontId="2" fillId="4" borderId="1" xfId="1" applyNumberFormat="1" applyFill="1" applyBorder="1" applyAlignment="1">
      <alignment horizontal="center" vertical="top"/>
    </xf>
    <xf numFmtId="0" fontId="2" fillId="4" borderId="13" xfId="1" applyFill="1" applyBorder="1" applyAlignment="1">
      <alignment vertical="top"/>
    </xf>
    <xf numFmtId="4" fontId="2" fillId="4" borderId="15" xfId="1" applyNumberFormat="1" applyFill="1" applyBorder="1" applyAlignment="1">
      <alignment vertical="top"/>
    </xf>
    <xf numFmtId="4" fontId="8" fillId="0" borderId="14" xfId="1" applyNumberFormat="1" applyFont="1" applyBorder="1" applyAlignment="1">
      <alignment horizontal="center" vertical="top"/>
    </xf>
    <xf numFmtId="4" fontId="2" fillId="4" borderId="12" xfId="1" applyNumberFormat="1" applyFill="1" applyBorder="1" applyAlignment="1">
      <alignment vertical="top"/>
    </xf>
    <xf numFmtId="0" fontId="8" fillId="0" borderId="9" xfId="1" applyFont="1" applyBorder="1" applyAlignment="1">
      <alignment horizontal="center" vertical="top"/>
    </xf>
    <xf numFmtId="0" fontId="8" fillId="0" borderId="6" xfId="1" applyFont="1" applyBorder="1" applyAlignment="1">
      <alignment horizontal="center" vertical="top"/>
    </xf>
    <xf numFmtId="0" fontId="2" fillId="0" borderId="6" xfId="1" applyBorder="1" applyAlignment="1">
      <alignment horizontal="center" vertical="top"/>
    </xf>
    <xf numFmtId="4" fontId="2" fillId="0" borderId="18" xfId="1" applyNumberFormat="1" applyBorder="1" applyAlignment="1">
      <alignment horizontal="center" vertical="top"/>
    </xf>
    <xf numFmtId="4" fontId="2" fillId="0" borderId="20" xfId="1" applyNumberFormat="1" applyBorder="1" applyAlignment="1">
      <alignment horizontal="center" vertical="top"/>
    </xf>
    <xf numFmtId="0" fontId="2" fillId="0" borderId="20" xfId="1" applyBorder="1" applyAlignment="1">
      <alignment horizontal="center" vertical="top"/>
    </xf>
    <xf numFmtId="0" fontId="2" fillId="0" borderId="22" xfId="1" applyBorder="1" applyAlignment="1">
      <alignment horizontal="center" vertical="top"/>
    </xf>
    <xf numFmtId="0" fontId="2" fillId="0" borderId="5" xfId="1" applyBorder="1" applyAlignment="1">
      <alignment horizontal="center" vertical="top"/>
    </xf>
    <xf numFmtId="0" fontId="2" fillId="0" borderId="9" xfId="1" applyBorder="1" applyAlignment="1">
      <alignment horizontal="center" vertical="top"/>
    </xf>
    <xf numFmtId="4" fontId="2" fillId="0" borderId="9" xfId="1" applyNumberFormat="1" applyBorder="1" applyAlignment="1">
      <alignment horizontal="center" vertical="top"/>
    </xf>
    <xf numFmtId="0" fontId="2" fillId="0" borderId="9" xfId="1" applyBorder="1" applyAlignment="1">
      <alignment vertical="top"/>
    </xf>
    <xf numFmtId="0" fontId="2" fillId="0" borderId="22" xfId="1" applyBorder="1" applyAlignment="1">
      <alignment horizontal="left" vertical="top" wrapText="1"/>
    </xf>
    <xf numFmtId="4" fontId="2" fillId="0" borderId="22" xfId="1" applyNumberFormat="1" applyBorder="1" applyAlignment="1">
      <alignment horizontal="center" vertical="top"/>
    </xf>
    <xf numFmtId="0" fontId="2" fillId="0" borderId="1" xfId="1" applyBorder="1" applyAlignment="1">
      <alignment vertical="top"/>
    </xf>
    <xf numFmtId="0" fontId="8" fillId="0" borderId="18" xfId="1" applyFont="1" applyBorder="1" applyAlignment="1">
      <alignment vertical="top"/>
    </xf>
    <xf numFmtId="0" fontId="2" fillId="0" borderId="16" xfId="1" quotePrefix="1" applyBorder="1" applyAlignment="1">
      <alignment horizontal="center" vertical="top"/>
    </xf>
    <xf numFmtId="0" fontId="2" fillId="0" borderId="25" xfId="1" quotePrefix="1" applyBorder="1" applyAlignment="1">
      <alignment horizontal="center" vertical="top"/>
    </xf>
    <xf numFmtId="0" fontId="8" fillId="0" borderId="12" xfId="1" applyFont="1" applyBorder="1" applyAlignment="1">
      <alignment vertical="top" wrapText="1"/>
    </xf>
    <xf numFmtId="4" fontId="2" fillId="4" borderId="3" xfId="1" applyNumberFormat="1" applyFill="1" applyBorder="1" applyAlignment="1">
      <alignment horizontal="center" vertical="top"/>
    </xf>
    <xf numFmtId="0" fontId="2" fillId="4" borderId="13" xfId="1" applyFill="1" applyBorder="1" applyAlignment="1">
      <alignment horizontal="center" vertical="top"/>
    </xf>
    <xf numFmtId="4" fontId="2" fillId="4" borderId="15" xfId="1" applyNumberFormat="1" applyFill="1" applyBorder="1" applyAlignment="1">
      <alignment horizontal="center" vertical="top"/>
    </xf>
    <xf numFmtId="4" fontId="8" fillId="0" borderId="13" xfId="1" quotePrefix="1" applyNumberFormat="1" applyFont="1" applyBorder="1" applyAlignment="1">
      <alignment horizontal="center" vertical="top"/>
    </xf>
    <xf numFmtId="4" fontId="8" fillId="0" borderId="0" xfId="1" quotePrefix="1" applyNumberFormat="1" applyFont="1" applyAlignment="1">
      <alignment horizontal="center" vertical="top"/>
    </xf>
    <xf numFmtId="49" fontId="2" fillId="0" borderId="14" xfId="1" quotePrefix="1" applyNumberFormat="1" applyBorder="1" applyAlignment="1">
      <alignment horizontal="left" vertical="top"/>
    </xf>
    <xf numFmtId="0" fontId="2" fillId="0" borderId="19" xfId="1" applyBorder="1" applyAlignment="1">
      <alignment horizontal="center" vertical="top" wrapText="1"/>
    </xf>
    <xf numFmtId="0" fontId="4" fillId="0" borderId="7" xfId="1" applyFont="1" applyBorder="1" applyAlignment="1">
      <alignment vertical="top"/>
    </xf>
    <xf numFmtId="49" fontId="2" fillId="0" borderId="19" xfId="1" quotePrefix="1" applyNumberFormat="1" applyBorder="1" applyAlignment="1" applyProtection="1">
      <alignment horizontal="left" vertical="top" wrapText="1"/>
      <protection locked="0"/>
    </xf>
    <xf numFmtId="0" fontId="2" fillId="4" borderId="19" xfId="1" quotePrefix="1" applyFill="1" applyBorder="1" applyAlignment="1">
      <alignment horizontal="center" vertical="top"/>
    </xf>
    <xf numFmtId="0" fontId="2" fillId="4" borderId="19" xfId="1" applyFill="1" applyBorder="1" applyAlignment="1">
      <alignment horizontal="center" vertical="top"/>
    </xf>
    <xf numFmtId="0" fontId="2" fillId="0" borderId="19" xfId="1" applyBorder="1" applyAlignment="1">
      <alignment vertical="top" wrapText="1"/>
    </xf>
    <xf numFmtId="0" fontId="2" fillId="0" borderId="22" xfId="1" applyBorder="1" applyAlignment="1">
      <alignment horizontal="left" vertical="top"/>
    </xf>
    <xf numFmtId="2" fontId="2" fillId="0" borderId="7" xfId="1" applyNumberFormat="1" applyBorder="1" applyAlignment="1">
      <alignment horizontal="center" vertical="top"/>
    </xf>
    <xf numFmtId="49" fontId="2" fillId="0" borderId="0" xfId="1" quotePrefix="1" applyNumberFormat="1" applyAlignment="1">
      <alignment horizontal="left" vertical="top"/>
    </xf>
    <xf numFmtId="0" fontId="8" fillId="0" borderId="13" xfId="1" applyFont="1" applyBorder="1" applyAlignment="1">
      <alignment vertical="top"/>
    </xf>
    <xf numFmtId="49" fontId="8" fillId="0" borderId="0" xfId="1" applyNumberFormat="1" applyFont="1" applyAlignment="1">
      <alignment horizontal="left" vertical="top"/>
    </xf>
    <xf numFmtId="0" fontId="2" fillId="0" borderId="32" xfId="1" applyBorder="1" applyAlignment="1">
      <alignment horizontal="center" vertical="top"/>
    </xf>
    <xf numFmtId="49" fontId="2" fillId="0" borderId="10" xfId="1" quotePrefix="1" applyNumberFormat="1" applyBorder="1" applyAlignment="1">
      <alignment horizontal="left" vertical="top"/>
    </xf>
    <xf numFmtId="0" fontId="8" fillId="0" borderId="4" xfId="1" applyFont="1" applyBorder="1" applyAlignment="1">
      <alignment vertical="top" wrapText="1"/>
    </xf>
    <xf numFmtId="0" fontId="8" fillId="0" borderId="1" xfId="1" applyFont="1" applyBorder="1" applyAlignment="1">
      <alignment vertical="top"/>
    </xf>
    <xf numFmtId="0" fontId="8" fillId="0" borderId="7" xfId="1" applyFont="1" applyBorder="1" applyAlignment="1">
      <alignment vertical="top"/>
    </xf>
    <xf numFmtId="4" fontId="2" fillId="0" borderId="5" xfId="1" quotePrefix="1" applyNumberFormat="1" applyBorder="1" applyAlignment="1">
      <alignment horizontal="center" vertical="top"/>
    </xf>
    <xf numFmtId="4" fontId="2" fillId="0" borderId="6" xfId="1" quotePrefix="1" applyNumberFormat="1" applyBorder="1" applyAlignment="1">
      <alignment horizontal="center" vertical="top"/>
    </xf>
    <xf numFmtId="0" fontId="2" fillId="0" borderId="30" xfId="1" applyBorder="1" applyAlignment="1">
      <alignment horizontal="center" vertical="top"/>
    </xf>
    <xf numFmtId="0" fontId="2" fillId="0" borderId="13" xfId="1" applyBorder="1" applyAlignment="1">
      <alignment horizontal="center" vertical="top" wrapText="1"/>
    </xf>
    <xf numFmtId="4" fontId="2" fillId="0" borderId="15" xfId="1" applyNumberFormat="1" applyBorder="1" applyAlignment="1">
      <alignment horizontal="center" vertical="top"/>
    </xf>
    <xf numFmtId="0" fontId="2" fillId="0" borderId="32" xfId="1" applyBorder="1" applyAlignment="1">
      <alignment horizontal="left" vertical="top"/>
    </xf>
    <xf numFmtId="0" fontId="2" fillId="0" borderId="14" xfId="1" applyBorder="1" applyAlignment="1">
      <alignment horizontal="center" vertical="top" wrapText="1"/>
    </xf>
    <xf numFmtId="0" fontId="2" fillId="0" borderId="32" xfId="1" applyBorder="1" applyAlignment="1">
      <alignment vertical="top"/>
    </xf>
    <xf numFmtId="0" fontId="8" fillId="0" borderId="17" xfId="1" applyFont="1" applyBorder="1" applyAlignment="1">
      <alignment vertical="top" wrapText="1"/>
    </xf>
    <xf numFmtId="0" fontId="2" fillId="0" borderId="28" xfId="1" applyBorder="1" applyAlignment="1">
      <alignment horizontal="center" vertical="top"/>
    </xf>
    <xf numFmtId="4" fontId="2" fillId="0" borderId="8" xfId="1" applyNumberFormat="1" applyBorder="1" applyAlignment="1">
      <alignment horizontal="center" vertical="top"/>
    </xf>
    <xf numFmtId="0" fontId="8" fillId="0" borderId="3" xfId="1" applyFont="1" applyBorder="1" applyAlignment="1">
      <alignment vertical="top"/>
    </xf>
    <xf numFmtId="0" fontId="8" fillId="0" borderId="13" xfId="1" applyFont="1" applyBorder="1" applyAlignment="1">
      <alignment horizontal="center" vertical="top" wrapText="1"/>
    </xf>
    <xf numFmtId="0" fontId="8" fillId="0" borderId="14" xfId="1" applyFont="1" applyBorder="1" applyAlignment="1">
      <alignment horizontal="center" vertical="top"/>
    </xf>
    <xf numFmtId="49" fontId="8" fillId="0" borderId="12" xfId="1" quotePrefix="1" applyNumberFormat="1" applyFont="1" applyBorder="1" applyAlignment="1">
      <alignment horizontal="left" vertical="top" wrapText="1"/>
    </xf>
    <xf numFmtId="49" fontId="2" fillId="0" borderId="32" xfId="1" quotePrefix="1" applyNumberFormat="1" applyBorder="1" applyAlignment="1">
      <alignment vertical="top" wrapText="1"/>
    </xf>
    <xf numFmtId="49" fontId="2" fillId="0" borderId="19" xfId="1" quotePrefix="1" applyNumberFormat="1" applyBorder="1" applyAlignment="1">
      <alignment vertical="top" wrapText="1"/>
    </xf>
    <xf numFmtId="49" fontId="2" fillId="0" borderId="21" xfId="1" quotePrefix="1" applyNumberFormat="1" applyBorder="1" applyAlignment="1">
      <alignment vertical="top" wrapText="1"/>
    </xf>
    <xf numFmtId="4" fontId="8" fillId="0" borderId="4" xfId="1" applyNumberFormat="1" applyFont="1" applyBorder="1" applyAlignment="1">
      <alignment horizontal="center" vertical="top"/>
    </xf>
    <xf numFmtId="4" fontId="2" fillId="0" borderId="27" xfId="1" applyNumberFormat="1" applyBorder="1" applyAlignment="1">
      <alignment horizontal="center" vertical="top"/>
    </xf>
    <xf numFmtId="4" fontId="2" fillId="0" borderId="26" xfId="1" applyNumberFormat="1" applyBorder="1" applyAlignment="1">
      <alignment horizontal="center" vertical="top"/>
    </xf>
    <xf numFmtId="4" fontId="2" fillId="0" borderId="23" xfId="1" applyNumberFormat="1" applyBorder="1" applyAlignment="1">
      <alignment horizontal="center" vertical="top"/>
    </xf>
    <xf numFmtId="4" fontId="2" fillId="0" borderId="34" xfId="1" applyNumberFormat="1" applyBorder="1" applyAlignment="1">
      <alignment horizontal="center" vertical="top"/>
    </xf>
    <xf numFmtId="4" fontId="2" fillId="0" borderId="31" xfId="1" applyNumberFormat="1" applyBorder="1" applyAlignment="1">
      <alignment horizontal="center" vertical="top"/>
    </xf>
    <xf numFmtId="4" fontId="8" fillId="0" borderId="8" xfId="1" applyNumberFormat="1" applyFont="1" applyBorder="1" applyAlignment="1">
      <alignment horizontal="center" vertical="top"/>
    </xf>
    <xf numFmtId="4" fontId="2" fillId="0" borderId="15" xfId="1" applyNumberFormat="1" applyBorder="1" applyAlignment="1">
      <alignment vertical="top"/>
    </xf>
    <xf numFmtId="4" fontId="2" fillId="0" borderId="2" xfId="1" applyNumberFormat="1" applyBorder="1" applyAlignment="1">
      <alignment vertical="top"/>
    </xf>
    <xf numFmtId="4" fontId="8" fillId="0" borderId="8" xfId="1" quotePrefix="1" applyNumberFormat="1" applyFont="1" applyBorder="1" applyAlignment="1">
      <alignment horizontal="center" vertical="top"/>
    </xf>
    <xf numFmtId="0" fontId="2" fillId="0" borderId="13" xfId="1" applyBorder="1" applyAlignment="1">
      <alignment horizontal="center" vertical="top"/>
    </xf>
    <xf numFmtId="0" fontId="8" fillId="0" borderId="12" xfId="1" applyFont="1" applyBorder="1" applyAlignment="1">
      <alignment horizontal="center" vertical="top" wrapText="1"/>
    </xf>
    <xf numFmtId="0" fontId="8" fillId="0" borderId="13" xfId="1" applyFont="1" applyBorder="1" applyAlignment="1">
      <alignment horizontal="center" vertical="top"/>
    </xf>
    <xf numFmtId="49" fontId="8" fillId="0" borderId="3" xfId="1" quotePrefix="1" applyNumberFormat="1" applyFont="1" applyBorder="1" applyAlignment="1">
      <alignment horizontal="left" vertical="top" wrapText="1"/>
    </xf>
    <xf numFmtId="0" fontId="8" fillId="0" borderId="11" xfId="1" applyFont="1" applyBorder="1" applyAlignment="1">
      <alignment vertical="top"/>
    </xf>
    <xf numFmtId="49" fontId="8" fillId="0" borderId="7" xfId="1" applyNumberFormat="1" applyFont="1" applyBorder="1" applyAlignment="1">
      <alignment horizontal="left" vertical="top"/>
    </xf>
    <xf numFmtId="0" fontId="8" fillId="0" borderId="12" xfId="1" applyFont="1" applyBorder="1" applyAlignment="1">
      <alignment horizontal="center" vertical="top"/>
    </xf>
    <xf numFmtId="0" fontId="8" fillId="0" borderId="14" xfId="1" applyFont="1" applyBorder="1" applyAlignment="1">
      <alignment horizontal="left" vertical="top"/>
    </xf>
    <xf numFmtId="0" fontId="2" fillId="0" borderId="14" xfId="1" quotePrefix="1" applyBorder="1" applyAlignment="1">
      <alignment horizontal="center" vertical="top"/>
    </xf>
    <xf numFmtId="0" fontId="8" fillId="0" borderId="7" xfId="1" quotePrefix="1" applyFont="1" applyBorder="1" applyAlignment="1">
      <alignment horizontal="center" vertical="top"/>
    </xf>
    <xf numFmtId="0" fontId="2" fillId="0" borderId="30" xfId="1" quotePrefix="1" applyBorder="1" applyAlignment="1">
      <alignment horizontal="center" vertical="top"/>
    </xf>
    <xf numFmtId="4" fontId="8" fillId="0" borderId="3" xfId="1" applyNumberFormat="1" applyFont="1" applyBorder="1" applyAlignment="1">
      <alignment vertical="top"/>
    </xf>
    <xf numFmtId="49" fontId="2" fillId="0" borderId="17" xfId="1" quotePrefix="1" applyNumberFormat="1" applyBorder="1" applyAlignment="1">
      <alignment vertical="top" wrapText="1"/>
    </xf>
    <xf numFmtId="0" fontId="2" fillId="0" borderId="34" xfId="1" applyBorder="1" applyAlignment="1">
      <alignment vertical="top"/>
    </xf>
    <xf numFmtId="49" fontId="2" fillId="0" borderId="32" xfId="1" quotePrefix="1" applyNumberFormat="1" applyBorder="1" applyAlignment="1">
      <alignment horizontal="left" vertical="top"/>
    </xf>
    <xf numFmtId="4" fontId="2" fillId="0" borderId="32" xfId="1" quotePrefix="1" applyNumberFormat="1" applyBorder="1" applyAlignment="1">
      <alignment horizontal="center" vertical="top"/>
    </xf>
    <xf numFmtId="0" fontId="2" fillId="0" borderId="16" xfId="1" applyBorder="1" applyAlignment="1">
      <alignment horizontal="center" vertical="top" wrapText="1"/>
    </xf>
    <xf numFmtId="4" fontId="2" fillId="0" borderId="19" xfId="1" quotePrefix="1" applyNumberFormat="1" applyBorder="1" applyAlignment="1">
      <alignment horizontal="center" vertical="top"/>
    </xf>
    <xf numFmtId="4" fontId="2" fillId="0" borderId="28" xfId="1" quotePrefix="1" applyNumberFormat="1" applyBorder="1" applyAlignment="1">
      <alignment horizontal="center" vertical="top"/>
    </xf>
    <xf numFmtId="0" fontId="8" fillId="0" borderId="19" xfId="1" applyFont="1" applyBorder="1" applyAlignment="1">
      <alignment vertical="top"/>
    </xf>
    <xf numFmtId="4" fontId="2" fillId="0" borderId="33" xfId="1" quotePrefix="1" applyNumberFormat="1" applyBorder="1" applyAlignment="1">
      <alignment horizontal="center" vertical="top"/>
    </xf>
    <xf numFmtId="4" fontId="2" fillId="0" borderId="21" xfId="1" quotePrefix="1" applyNumberFormat="1" applyBorder="1" applyAlignment="1">
      <alignment horizontal="center" vertical="top"/>
    </xf>
    <xf numFmtId="0" fontId="2" fillId="0" borderId="13" xfId="1" applyBorder="1" applyAlignment="1">
      <alignment vertical="top"/>
    </xf>
    <xf numFmtId="0" fontId="8" fillId="0" borderId="17" xfId="1" applyFont="1" applyBorder="1" applyAlignment="1">
      <alignment horizontal="left" vertical="top" wrapText="1"/>
    </xf>
    <xf numFmtId="0" fontId="8" fillId="0" borderId="17" xfId="1" applyFont="1" applyBorder="1" applyAlignment="1">
      <alignment horizontal="left" vertical="top"/>
    </xf>
    <xf numFmtId="0" fontId="8" fillId="0" borderId="19" xfId="1" applyFont="1" applyBorder="1" applyAlignment="1">
      <alignment horizontal="left" vertical="top"/>
    </xf>
    <xf numFmtId="49" fontId="8" fillId="0" borderId="19" xfId="1" applyNumberFormat="1" applyFont="1" applyBorder="1" applyAlignment="1">
      <alignment horizontal="center" vertical="top" wrapText="1"/>
    </xf>
    <xf numFmtId="0" fontId="8" fillId="0" borderId="18" xfId="1" applyFont="1" applyBorder="1" applyAlignment="1">
      <alignment vertical="top" wrapText="1"/>
    </xf>
    <xf numFmtId="4" fontId="2" fillId="0" borderId="17" xfId="1" quotePrefix="1" applyNumberFormat="1" applyBorder="1" applyAlignment="1">
      <alignment horizontal="center" vertical="top"/>
    </xf>
    <xf numFmtId="0" fontId="8" fillId="0" borderId="32" xfId="1" applyFont="1" applyBorder="1" applyAlignment="1">
      <alignment vertical="top"/>
    </xf>
    <xf numFmtId="4" fontId="2" fillId="0" borderId="20" xfId="1" quotePrefix="1" applyNumberFormat="1" applyBorder="1" applyAlignment="1">
      <alignment horizontal="center" vertical="top"/>
    </xf>
    <xf numFmtId="4" fontId="2" fillId="0" borderId="18" xfId="1" quotePrefix="1" applyNumberFormat="1" applyBorder="1" applyAlignment="1">
      <alignment horizontal="center" vertical="top"/>
    </xf>
    <xf numFmtId="0" fontId="9" fillId="0" borderId="0" xfId="1" applyFont="1" applyAlignment="1">
      <alignment vertical="top"/>
    </xf>
    <xf numFmtId="0" fontId="2" fillId="0" borderId="33" xfId="1" applyBorder="1" applyAlignment="1">
      <alignment horizontal="left" vertical="top"/>
    </xf>
    <xf numFmtId="0" fontId="2" fillId="0" borderId="31" xfId="1" applyBorder="1" applyAlignment="1">
      <alignment horizontal="left" vertical="top"/>
    </xf>
    <xf numFmtId="0" fontId="2" fillId="0" borderId="21" xfId="1" applyBorder="1" applyAlignment="1">
      <alignment horizontal="left" vertical="top" wrapText="1"/>
    </xf>
    <xf numFmtId="0" fontId="9" fillId="0" borderId="0" xfId="0" applyFont="1" applyAlignment="1">
      <alignment horizontal="center" vertical="top" wrapText="1"/>
    </xf>
    <xf numFmtId="0" fontId="8" fillId="0" borderId="11" xfId="1" applyFont="1" applyBorder="1" applyAlignment="1">
      <alignment horizontal="center" vertical="top" wrapText="1"/>
    </xf>
    <xf numFmtId="0" fontId="8" fillId="0" borderId="15" xfId="1" applyFont="1" applyBorder="1" applyAlignment="1">
      <alignment vertical="top" wrapText="1"/>
    </xf>
    <xf numFmtId="0" fontId="8" fillId="0" borderId="18" xfId="1" applyFont="1" applyBorder="1" applyAlignment="1">
      <alignment horizontal="left" vertical="top"/>
    </xf>
    <xf numFmtId="2" fontId="2" fillId="0" borderId="24" xfId="1" applyNumberFormat="1" applyBorder="1" applyAlignment="1">
      <alignment horizontal="center" vertical="top"/>
    </xf>
    <xf numFmtId="0" fontId="2" fillId="0" borderId="19" xfId="1" applyBorder="1" applyAlignment="1">
      <alignment horizontal="left" vertical="top" wrapText="1"/>
    </xf>
    <xf numFmtId="164" fontId="2" fillId="0" borderId="12" xfId="5" applyFont="1" applyFill="1" applyBorder="1" applyAlignment="1">
      <alignment horizontal="center" vertical="top"/>
    </xf>
    <xf numFmtId="164" fontId="2" fillId="0" borderId="0" xfId="5" applyFont="1" applyFill="1" applyBorder="1" applyAlignment="1">
      <alignment horizontal="center" vertical="top"/>
    </xf>
    <xf numFmtId="164" fontId="2" fillId="0" borderId="3" xfId="5" applyFont="1" applyFill="1" applyBorder="1" applyAlignment="1">
      <alignment horizontal="center" vertical="top"/>
    </xf>
    <xf numFmtId="0" fontId="2" fillId="2" borderId="12" xfId="1" applyFill="1" applyBorder="1" applyAlignment="1">
      <alignment horizontal="center" vertical="top"/>
    </xf>
    <xf numFmtId="0" fontId="8" fillId="2" borderId="12" xfId="1" quotePrefix="1" applyFont="1" applyFill="1" applyBorder="1" applyAlignment="1">
      <alignment vertical="top"/>
    </xf>
    <xf numFmtId="164" fontId="2" fillId="2" borderId="12" xfId="5" applyFont="1" applyFill="1" applyBorder="1" applyAlignment="1">
      <alignment horizontal="center" vertical="top"/>
    </xf>
    <xf numFmtId="0" fontId="2" fillId="0" borderId="12" xfId="1" quotePrefix="1" applyBorder="1" applyAlignment="1">
      <alignment vertical="top"/>
    </xf>
    <xf numFmtId="164" fontId="2" fillId="0" borderId="12" xfId="5" quotePrefix="1" applyFont="1" applyFill="1" applyBorder="1" applyAlignment="1">
      <alignment horizontal="center" vertical="top"/>
    </xf>
    <xf numFmtId="0" fontId="8" fillId="2" borderId="12" xfId="1" applyFont="1" applyFill="1" applyBorder="1" applyAlignment="1">
      <alignment vertical="top"/>
    </xf>
    <xf numFmtId="164" fontId="8" fillId="2" borderId="12" xfId="5" applyFont="1" applyFill="1" applyBorder="1" applyAlignment="1">
      <alignment horizontal="center" vertical="top"/>
    </xf>
    <xf numFmtId="2" fontId="2" fillId="0" borderId="17" xfId="1" applyNumberFormat="1" applyBorder="1" applyAlignment="1">
      <alignment horizontal="center" vertical="top"/>
    </xf>
    <xf numFmtId="4" fontId="8" fillId="0" borderId="11" xfId="1" applyNumberFormat="1" applyFont="1" applyBorder="1" applyAlignment="1">
      <alignment horizontal="center" vertical="top"/>
    </xf>
    <xf numFmtId="0" fontId="8" fillId="0" borderId="15" xfId="1" applyFont="1" applyBorder="1" applyAlignment="1">
      <alignment horizontal="center" vertical="top"/>
    </xf>
    <xf numFmtId="4" fontId="8" fillId="0" borderId="4" xfId="1" applyNumberFormat="1" applyFont="1" applyBorder="1" applyAlignment="1">
      <alignment vertical="top"/>
    </xf>
    <xf numFmtId="0" fontId="8" fillId="0" borderId="12" xfId="1" applyFont="1" applyBorder="1" applyAlignment="1">
      <alignment horizontal="left" vertical="top" wrapText="1"/>
    </xf>
    <xf numFmtId="0" fontId="2" fillId="0" borderId="9" xfId="1" applyBorder="1" applyAlignment="1">
      <alignment horizontal="left" vertical="top" wrapText="1"/>
    </xf>
    <xf numFmtId="0" fontId="8" fillId="6" borderId="0" xfId="1" applyFont="1" applyFill="1" applyAlignment="1">
      <alignment vertical="top"/>
    </xf>
    <xf numFmtId="0" fontId="17" fillId="0" borderId="0" xfId="0" applyFont="1" applyAlignment="1">
      <alignment horizontal="center" vertical="top" wrapText="1"/>
    </xf>
    <xf numFmtId="49" fontId="8" fillId="0" borderId="12" xfId="1" applyNumberFormat="1" applyFont="1" applyBorder="1" applyAlignment="1">
      <alignment horizontal="center" vertical="top" wrapText="1"/>
    </xf>
    <xf numFmtId="0" fontId="9" fillId="0" borderId="0" xfId="0" applyFont="1" applyAlignment="1">
      <alignment horizontal="left" vertical="top" wrapText="1"/>
    </xf>
    <xf numFmtId="49" fontId="2" fillId="0" borderId="32" xfId="1" quotePrefix="1" applyNumberFormat="1" applyBorder="1" applyAlignment="1">
      <alignment horizontal="left" vertical="top" wrapText="1"/>
    </xf>
    <xf numFmtId="164" fontId="2" fillId="0" borderId="16" xfId="5" applyFont="1" applyFill="1" applyBorder="1" applyAlignment="1">
      <alignment horizontal="center" vertical="top"/>
    </xf>
    <xf numFmtId="0" fontId="8" fillId="0" borderId="1" xfId="1" applyFont="1" applyBorder="1" applyAlignment="1">
      <alignment horizontal="center" vertical="top" wrapText="1"/>
    </xf>
    <xf numFmtId="4" fontId="8" fillId="0" borderId="5" xfId="1" applyNumberFormat="1" applyFont="1" applyBorder="1" applyAlignment="1">
      <alignment horizontal="center" vertical="top"/>
    </xf>
    <xf numFmtId="4" fontId="8" fillId="0" borderId="1" xfId="1" applyNumberFormat="1" applyFont="1" applyBorder="1" applyAlignment="1">
      <alignment horizontal="center" vertical="top"/>
    </xf>
    <xf numFmtId="4" fontId="8" fillId="0" borderId="2" xfId="1" applyNumberFormat="1" applyFont="1" applyBorder="1" applyAlignment="1">
      <alignment horizontal="center" vertical="top"/>
    </xf>
    <xf numFmtId="49" fontId="8" fillId="0" borderId="1" xfId="1" quotePrefix="1" applyNumberFormat="1" applyFont="1" applyBorder="1" applyAlignment="1">
      <alignment horizontal="left" vertical="top" wrapText="1"/>
    </xf>
    <xf numFmtId="4" fontId="2" fillId="0" borderId="23" xfId="1" applyNumberFormat="1" applyBorder="1" applyAlignment="1">
      <alignment vertical="top"/>
    </xf>
    <xf numFmtId="0" fontId="2" fillId="0" borderId="34" xfId="1" applyBorder="1" applyAlignment="1">
      <alignment horizontal="left" vertical="top"/>
    </xf>
    <xf numFmtId="3" fontId="2" fillId="0" borderId="32" xfId="1" applyNumberFormat="1" applyBorder="1" applyAlignment="1">
      <alignment horizontal="center" vertical="top"/>
    </xf>
    <xf numFmtId="3" fontId="2" fillId="0" borderId="30" xfId="1" applyNumberFormat="1" applyBorder="1" applyAlignment="1">
      <alignment horizontal="center" vertical="top"/>
    </xf>
    <xf numFmtId="49" fontId="2" fillId="0" borderId="32" xfId="1" applyNumberFormat="1" applyBorder="1" applyAlignment="1">
      <alignment horizontal="left" vertical="top"/>
    </xf>
    <xf numFmtId="0" fontId="2" fillId="0" borderId="23" xfId="1" applyBorder="1" applyAlignment="1">
      <alignment horizontal="left" vertical="top"/>
    </xf>
    <xf numFmtId="49" fontId="2" fillId="0" borderId="15" xfId="1" quotePrefix="1" applyNumberFormat="1" applyBorder="1" applyAlignment="1">
      <alignment horizontal="left" vertical="top" wrapText="1"/>
    </xf>
    <xf numFmtId="49" fontId="2" fillId="0" borderId="15" xfId="1" quotePrefix="1" applyNumberFormat="1" applyBorder="1" applyAlignment="1">
      <alignment horizontal="left" vertical="top"/>
    </xf>
    <xf numFmtId="4" fontId="2" fillId="0" borderId="34" xfId="1" quotePrefix="1" applyNumberFormat="1" applyBorder="1" applyAlignment="1">
      <alignment horizontal="center" vertical="top"/>
    </xf>
    <xf numFmtId="4" fontId="2" fillId="0" borderId="27" xfId="1" quotePrefix="1" applyNumberFormat="1" applyBorder="1" applyAlignment="1">
      <alignment horizontal="center" vertical="top"/>
    </xf>
    <xf numFmtId="4" fontId="2" fillId="0" borderId="31" xfId="1" quotePrefix="1" applyNumberFormat="1" applyBorder="1" applyAlignment="1">
      <alignment horizontal="center" vertical="top"/>
    </xf>
    <xf numFmtId="4" fontId="2" fillId="0" borderId="4" xfId="1" quotePrefix="1" applyNumberFormat="1" applyBorder="1" applyAlignment="1">
      <alignment horizontal="center" vertical="top"/>
    </xf>
    <xf numFmtId="4" fontId="2" fillId="0" borderId="26" xfId="1" quotePrefix="1" applyNumberFormat="1" applyBorder="1" applyAlignment="1">
      <alignment horizontal="center" vertical="top"/>
    </xf>
    <xf numFmtId="4" fontId="2" fillId="0" borderId="8" xfId="1" quotePrefix="1" applyNumberFormat="1" applyBorder="1" applyAlignment="1">
      <alignment horizontal="center" vertical="top"/>
    </xf>
    <xf numFmtId="4" fontId="2" fillId="0" borderId="27" xfId="1" applyNumberFormat="1" applyBorder="1" applyAlignment="1">
      <alignment vertical="top"/>
    </xf>
    <xf numFmtId="0" fontId="2" fillId="0" borderId="32" xfId="1" quotePrefix="1" applyBorder="1" applyAlignment="1">
      <alignment horizontal="center" vertical="top"/>
    </xf>
    <xf numFmtId="0" fontId="2" fillId="7" borderId="19" xfId="1" applyFill="1" applyBorder="1" applyAlignment="1">
      <alignment horizontal="center" vertical="top"/>
    </xf>
    <xf numFmtId="0" fontId="21" fillId="0" borderId="0" xfId="0" applyFont="1"/>
    <xf numFmtId="0" fontId="20" fillId="0" borderId="12" xfId="0" applyFont="1" applyBorder="1" applyAlignment="1">
      <alignment horizontal="center" vertical="center"/>
    </xf>
    <xf numFmtId="0" fontId="21" fillId="0" borderId="12" xfId="0" applyFont="1" applyBorder="1"/>
    <xf numFmtId="0" fontId="21" fillId="0" borderId="12" xfId="0" applyFont="1" applyBorder="1" applyAlignment="1">
      <alignment horizontal="center" vertical="center"/>
    </xf>
    <xf numFmtId="0" fontId="21" fillId="0" borderId="8" xfId="0" applyFont="1" applyBorder="1"/>
    <xf numFmtId="0" fontId="6" fillId="0" borderId="0" xfId="0" applyFont="1"/>
    <xf numFmtId="0" fontId="22" fillId="2" borderId="0" xfId="0" applyFont="1" applyFill="1"/>
    <xf numFmtId="0" fontId="22" fillId="0" borderId="0" xfId="0" applyFont="1"/>
    <xf numFmtId="0" fontId="23" fillId="0" borderId="0" xfId="0" applyFont="1"/>
    <xf numFmtId="0" fontId="21" fillId="2" borderId="0" xfId="0" applyFont="1" applyFill="1"/>
    <xf numFmtId="0" fontId="21" fillId="0" borderId="11" xfId="0" applyFont="1" applyBorder="1"/>
    <xf numFmtId="0" fontId="21" fillId="0" borderId="4" xfId="0" applyFont="1" applyBorder="1"/>
    <xf numFmtId="0" fontId="21" fillId="0" borderId="1" xfId="0" applyFont="1" applyBorder="1" applyAlignment="1">
      <alignment horizontal="center"/>
    </xf>
    <xf numFmtId="0" fontId="21" fillId="0" borderId="7" xfId="0" applyFont="1" applyBorder="1"/>
    <xf numFmtId="0" fontId="21" fillId="0" borderId="7" xfId="0" applyFont="1" applyBorder="1" applyAlignment="1">
      <alignment horizontal="center"/>
    </xf>
    <xf numFmtId="0" fontId="21" fillId="0" borderId="3" xfId="0" applyFont="1" applyBorder="1"/>
    <xf numFmtId="0" fontId="21" fillId="0" borderId="1" xfId="0" applyFont="1" applyBorder="1"/>
    <xf numFmtId="4" fontId="8" fillId="0" borderId="4" xfId="1" applyNumberFormat="1" applyFont="1" applyBorder="1" applyAlignment="1">
      <alignment horizontal="center" vertical="top"/>
    </xf>
    <xf numFmtId="49" fontId="2" fillId="0" borderId="28" xfId="1" quotePrefix="1" applyNumberFormat="1" applyBorder="1" applyAlignment="1">
      <alignment horizontal="left" vertical="top" wrapText="1"/>
    </xf>
    <xf numFmtId="49" fontId="2" fillId="0" borderId="7" xfId="1" quotePrefix="1" applyNumberFormat="1" applyBorder="1" applyAlignment="1">
      <alignment horizontal="left" vertical="top" wrapText="1"/>
    </xf>
    <xf numFmtId="49" fontId="2" fillId="0" borderId="3" xfId="1" quotePrefix="1" applyNumberFormat="1" applyBorder="1" applyAlignment="1">
      <alignment horizontal="left" vertical="top" wrapText="1"/>
    </xf>
    <xf numFmtId="0" fontId="8" fillId="2" borderId="12" xfId="1" applyFont="1" applyFill="1" applyBorder="1" applyAlignment="1">
      <alignment horizontal="center" vertical="top" wrapText="1"/>
    </xf>
    <xf numFmtId="4" fontId="2" fillId="0" borderId="2" xfId="1" applyNumberFormat="1" applyBorder="1" applyAlignment="1">
      <alignment horizontal="center" vertical="top"/>
    </xf>
    <xf numFmtId="4" fontId="2" fillId="0" borderId="8" xfId="1" applyNumberFormat="1" applyBorder="1" applyAlignment="1">
      <alignment horizontal="center" vertical="top"/>
    </xf>
    <xf numFmtId="4" fontId="2" fillId="0" borderId="4" xfId="1" applyNumberFormat="1" applyBorder="1" applyAlignment="1">
      <alignment horizontal="center" vertical="top"/>
    </xf>
    <xf numFmtId="49" fontId="2" fillId="0" borderId="32" xfId="1" quotePrefix="1" applyNumberFormat="1" applyBorder="1" applyAlignment="1">
      <alignment horizontal="left" vertical="top" wrapText="1"/>
    </xf>
    <xf numFmtId="0" fontId="2" fillId="0" borderId="0" xfId="1" applyAlignment="1">
      <alignment horizontal="left" vertical="top" wrapText="1"/>
    </xf>
    <xf numFmtId="49" fontId="2" fillId="0" borderId="19" xfId="1" quotePrefix="1" applyNumberFormat="1" applyBorder="1" applyAlignment="1">
      <alignment horizontal="left" vertical="top" wrapText="1"/>
    </xf>
    <xf numFmtId="49" fontId="2" fillId="0" borderId="19" xfId="1" applyNumberFormat="1" applyBorder="1" applyAlignment="1">
      <alignment horizontal="left" vertical="top"/>
    </xf>
    <xf numFmtId="0" fontId="9" fillId="0" borderId="0" xfId="0" applyFont="1" applyAlignment="1">
      <alignment horizontal="center" vertical="top" wrapText="1"/>
    </xf>
    <xf numFmtId="49" fontId="8" fillId="0" borderId="12" xfId="1" applyNumberFormat="1" applyFont="1" applyBorder="1" applyAlignment="1">
      <alignment horizontal="center" vertical="top" wrapText="1"/>
    </xf>
    <xf numFmtId="4" fontId="2" fillId="0" borderId="0" xfId="1" applyNumberFormat="1" applyAlignment="1">
      <alignment horizontal="center" vertical="top"/>
    </xf>
    <xf numFmtId="0" fontId="8" fillId="0" borderId="1" xfId="1" applyFont="1" applyBorder="1" applyAlignment="1">
      <alignment horizontal="center" vertical="top"/>
    </xf>
    <xf numFmtId="0" fontId="8" fillId="0" borderId="3" xfId="1" applyFont="1" applyBorder="1" applyAlignment="1">
      <alignment horizontal="center" vertical="top"/>
    </xf>
    <xf numFmtId="0" fontId="17" fillId="0" borderId="0" xfId="0" applyFont="1" applyAlignment="1">
      <alignment horizontal="center" vertical="top" wrapText="1"/>
    </xf>
    <xf numFmtId="0" fontId="9" fillId="0" borderId="0" xfId="0" applyFont="1" applyAlignment="1">
      <alignment vertical="top" wrapText="1"/>
    </xf>
    <xf numFmtId="0" fontId="9" fillId="0" borderId="0" xfId="0" applyFont="1" applyAlignment="1">
      <alignment horizontal="left" vertical="top" wrapText="1"/>
    </xf>
    <xf numFmtId="4" fontId="14" fillId="0" borderId="9" xfId="1" applyNumberFormat="1" applyFont="1" applyBorder="1" applyAlignment="1">
      <alignment vertical="top"/>
    </xf>
    <xf numFmtId="4" fontId="14" fillId="0" borderId="0" xfId="1" applyNumberFormat="1" applyFont="1" applyAlignment="1">
      <alignment vertical="top"/>
    </xf>
    <xf numFmtId="0" fontId="16" fillId="0" borderId="9" xfId="1" applyFont="1" applyBorder="1" applyAlignment="1">
      <alignment horizontal="left" vertical="top" wrapText="1"/>
    </xf>
    <xf numFmtId="0" fontId="16" fillId="0" borderId="0" xfId="1" applyFont="1" applyAlignment="1">
      <alignment horizontal="left" vertical="top" wrapText="1"/>
    </xf>
    <xf numFmtId="0" fontId="9" fillId="0" borderId="0" xfId="0" applyFont="1" applyAlignment="1">
      <alignment horizontal="center" vertical="top" wrapText="1"/>
    </xf>
    <xf numFmtId="0" fontId="8" fillId="2" borderId="13" xfId="1" applyFont="1" applyFill="1" applyBorder="1" applyAlignment="1">
      <alignment horizontal="center" vertical="top"/>
    </xf>
    <xf numFmtId="0" fontId="8" fillId="2" borderId="14" xfId="1" applyFont="1" applyFill="1" applyBorder="1" applyAlignment="1">
      <alignment horizontal="center" vertical="top"/>
    </xf>
    <xf numFmtId="0" fontId="8" fillId="2" borderId="12" xfId="1" applyFont="1" applyFill="1" applyBorder="1" applyAlignment="1">
      <alignment horizontal="center" vertical="top" wrapText="1"/>
    </xf>
    <xf numFmtId="49" fontId="8" fillId="0" borderId="12" xfId="1" applyNumberFormat="1" applyFont="1" applyBorder="1" applyAlignment="1">
      <alignment horizontal="center" vertical="top" wrapText="1"/>
    </xf>
    <xf numFmtId="0" fontId="8" fillId="2" borderId="12" xfId="1" applyFont="1" applyFill="1" applyBorder="1" applyAlignment="1">
      <alignment horizontal="center" vertical="top"/>
    </xf>
    <xf numFmtId="0" fontId="2" fillId="0" borderId="0" xfId="1" applyAlignment="1">
      <alignment horizontal="left" vertical="top" wrapText="1"/>
    </xf>
    <xf numFmtId="49" fontId="2" fillId="0" borderId="19" xfId="1" quotePrefix="1" applyNumberFormat="1" applyBorder="1" applyAlignment="1">
      <alignment horizontal="left" vertical="top" wrapText="1"/>
    </xf>
    <xf numFmtId="49" fontId="2" fillId="0" borderId="19" xfId="1" applyNumberFormat="1" applyBorder="1" applyAlignment="1">
      <alignment horizontal="left" vertical="top"/>
    </xf>
    <xf numFmtId="49" fontId="2" fillId="0" borderId="28" xfId="1" quotePrefix="1" applyNumberFormat="1" applyBorder="1" applyAlignment="1">
      <alignment horizontal="left" vertical="top" wrapText="1"/>
    </xf>
    <xf numFmtId="49" fontId="2" fillId="0" borderId="7" xfId="1" quotePrefix="1" applyNumberFormat="1" applyBorder="1" applyAlignment="1">
      <alignment horizontal="left" vertical="top" wrapText="1"/>
    </xf>
    <xf numFmtId="49" fontId="2" fillId="0" borderId="32" xfId="1" quotePrefix="1" applyNumberFormat="1" applyBorder="1" applyAlignment="1">
      <alignment horizontal="left" vertical="top" wrapText="1"/>
    </xf>
    <xf numFmtId="49" fontId="4" fillId="0" borderId="1" xfId="1" quotePrefix="1" applyNumberFormat="1" applyFont="1" applyBorder="1" applyAlignment="1">
      <alignment horizontal="left" vertical="top" wrapText="1"/>
    </xf>
    <xf numFmtId="49" fontId="4" fillId="0" borderId="7" xfId="1" quotePrefix="1" applyNumberFormat="1" applyFont="1" applyBorder="1" applyAlignment="1">
      <alignment horizontal="left" vertical="top" wrapText="1"/>
    </xf>
    <xf numFmtId="49" fontId="4" fillId="0" borderId="3" xfId="1" quotePrefix="1" applyNumberFormat="1" applyFont="1" applyBorder="1" applyAlignment="1">
      <alignment horizontal="left" vertical="top" wrapText="1"/>
    </xf>
    <xf numFmtId="49" fontId="2" fillId="0" borderId="1" xfId="1" quotePrefix="1" applyNumberFormat="1" applyBorder="1" applyAlignment="1">
      <alignment horizontal="left" vertical="top" wrapText="1"/>
    </xf>
    <xf numFmtId="49" fontId="8" fillId="0" borderId="12" xfId="1" applyNumberFormat="1" applyFont="1" applyBorder="1" applyAlignment="1">
      <alignment horizontal="left" vertical="top" wrapText="1"/>
    </xf>
    <xf numFmtId="0" fontId="8" fillId="2" borderId="15" xfId="1" applyFont="1" applyFill="1" applyBorder="1" applyAlignment="1">
      <alignment horizontal="center" vertical="top"/>
    </xf>
    <xf numFmtId="4" fontId="2" fillId="0" borderId="9" xfId="1" applyNumberFormat="1" applyBorder="1" applyAlignment="1">
      <alignment horizontal="center" vertical="top"/>
    </xf>
    <xf numFmtId="4" fontId="2" fillId="0" borderId="8" xfId="1" applyNumberFormat="1" applyBorder="1" applyAlignment="1">
      <alignment horizontal="center" vertical="top"/>
    </xf>
    <xf numFmtId="4" fontId="2" fillId="0" borderId="6" xfId="1" applyNumberFormat="1" applyBorder="1" applyAlignment="1">
      <alignment horizontal="center" vertical="top"/>
    </xf>
    <xf numFmtId="4" fontId="2" fillId="0" borderId="4" xfId="1" applyNumberFormat="1" applyBorder="1" applyAlignment="1">
      <alignment horizontal="center" vertical="top"/>
    </xf>
    <xf numFmtId="4" fontId="8" fillId="0" borderId="6" xfId="1" applyNumberFormat="1" applyFont="1" applyBorder="1" applyAlignment="1">
      <alignment horizontal="center" vertical="top"/>
    </xf>
    <xf numFmtId="4" fontId="8" fillId="0" borderId="4" xfId="1" applyNumberFormat="1" applyFont="1" applyBorder="1" applyAlignment="1">
      <alignment horizontal="center" vertical="top"/>
    </xf>
    <xf numFmtId="49" fontId="2" fillId="0" borderId="3" xfId="1" quotePrefix="1" applyNumberFormat="1" applyBorder="1" applyAlignment="1">
      <alignment horizontal="left" vertical="top" wrapText="1"/>
    </xf>
    <xf numFmtId="4" fontId="2" fillId="0" borderId="5" xfId="1" applyNumberFormat="1" applyBorder="1" applyAlignment="1">
      <alignment horizontal="center" vertical="top"/>
    </xf>
    <xf numFmtId="4" fontId="2" fillId="0" borderId="2" xfId="1" applyNumberFormat="1" applyBorder="1" applyAlignment="1">
      <alignment horizontal="center" vertical="top"/>
    </xf>
    <xf numFmtId="0" fontId="17" fillId="0" borderId="0" xfId="0" applyFont="1" applyAlignment="1">
      <alignment horizontal="center" vertical="top" wrapText="1"/>
    </xf>
    <xf numFmtId="0" fontId="9" fillId="0" borderId="0" xfId="0" applyFont="1" applyAlignment="1">
      <alignment vertical="top" wrapText="1"/>
    </xf>
    <xf numFmtId="0" fontId="9" fillId="0" borderId="0" xfId="0" applyFont="1" applyAlignment="1">
      <alignment horizontal="left" vertical="top" wrapText="1"/>
    </xf>
    <xf numFmtId="0" fontId="8" fillId="2" borderId="13" xfId="1" applyFont="1" applyFill="1" applyBorder="1" applyAlignment="1">
      <alignment horizontal="center" vertical="top" wrapText="1"/>
    </xf>
    <xf numFmtId="0" fontId="8" fillId="2" borderId="15" xfId="1" applyFont="1" applyFill="1" applyBorder="1" applyAlignment="1">
      <alignment horizontal="center" vertical="top" wrapText="1"/>
    </xf>
    <xf numFmtId="49" fontId="8" fillId="0" borderId="1" xfId="1" applyNumberFormat="1" applyFont="1" applyBorder="1" applyAlignment="1">
      <alignment horizontal="center" vertical="top" wrapText="1"/>
    </xf>
    <xf numFmtId="49" fontId="8" fillId="0" borderId="3" xfId="1" applyNumberFormat="1" applyFont="1" applyBorder="1" applyAlignment="1">
      <alignment horizontal="center" vertical="top" wrapText="1"/>
    </xf>
    <xf numFmtId="0" fontId="8" fillId="0" borderId="1" xfId="1" applyFont="1" applyBorder="1" applyAlignment="1">
      <alignment horizontal="center" vertical="top"/>
    </xf>
    <xf numFmtId="0" fontId="8" fillId="0" borderId="3" xfId="1" applyFont="1" applyBorder="1" applyAlignment="1">
      <alignment horizontal="center" vertical="top"/>
    </xf>
    <xf numFmtId="49" fontId="8" fillId="0" borderId="1" xfId="1" applyNumberFormat="1" applyFont="1" applyBorder="1" applyAlignment="1">
      <alignment horizontal="left" vertical="top" wrapText="1"/>
    </xf>
    <xf numFmtId="49" fontId="8" fillId="0" borderId="3" xfId="1" applyNumberFormat="1" applyFont="1" applyBorder="1" applyAlignment="1">
      <alignment horizontal="left" vertical="top" wrapText="1"/>
    </xf>
    <xf numFmtId="4" fontId="8" fillId="0" borderId="0" xfId="1" applyNumberFormat="1" applyFont="1" applyAlignment="1">
      <alignment horizontal="center" vertical="top"/>
    </xf>
    <xf numFmtId="0" fontId="8" fillId="0" borderId="0" xfId="1" applyFont="1" applyAlignment="1">
      <alignment horizontal="center" vertical="top" wrapText="1"/>
    </xf>
    <xf numFmtId="4" fontId="2" fillId="0" borderId="0" xfId="1" applyNumberFormat="1" applyAlignment="1">
      <alignment horizontal="center" vertical="top"/>
    </xf>
    <xf numFmtId="0" fontId="20" fillId="0" borderId="12" xfId="0" applyFont="1" applyBorder="1" applyAlignment="1">
      <alignment horizontal="center"/>
    </xf>
    <xf numFmtId="0" fontId="20" fillId="0" borderId="0" xfId="0" applyFont="1" applyAlignment="1">
      <alignment horizontal="center"/>
    </xf>
    <xf numFmtId="0" fontId="20" fillId="0" borderId="12" xfId="0" applyFont="1" applyBorder="1" applyAlignment="1">
      <alignment horizontal="center" vertical="center"/>
    </xf>
  </cellXfs>
  <cellStyles count="7">
    <cellStyle name="Comma" xfId="5" builtinId="3"/>
    <cellStyle name="Normal" xfId="0" builtinId="0"/>
    <cellStyle name="Normal 2" xfId="1"/>
    <cellStyle name="Normal 2 2" xfId="2"/>
    <cellStyle name="Normal 3" xfId="3"/>
    <cellStyle name="Normal_KOS UPAH UKUR 2005 2" xfId="4"/>
    <cellStyle name="Normal_KOS UPAH UKUR 2005 2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168966</xdr:colOff>
      <xdr:row>4</xdr:row>
      <xdr:rowOff>8283</xdr:rowOff>
    </xdr:from>
    <xdr:to>
      <xdr:col>3</xdr:col>
      <xdr:colOff>102291</xdr:colOff>
      <xdr:row>5</xdr:row>
      <xdr:rowOff>27333</xdr:rowOff>
    </xdr:to>
    <xdr:sp macro="" textlink="">
      <xdr:nvSpPr>
        <xdr:cNvPr id="2" name="Diamond 1">
          <a:extLst>
            <a:ext uri="{FF2B5EF4-FFF2-40B4-BE49-F238E27FC236}">
              <a16:creationId xmlns:a16="http://schemas.microsoft.com/office/drawing/2014/main" xmlns="" id="{00000000-0008-0000-0400-000002000000}"/>
            </a:ext>
          </a:extLst>
        </xdr:cNvPr>
        <xdr:cNvSpPr/>
      </xdr:nvSpPr>
      <xdr:spPr>
        <a:xfrm>
          <a:off x="2802836" y="753718"/>
          <a:ext cx="181803" cy="201267"/>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0</xdr:colOff>
      <xdr:row>5</xdr:row>
      <xdr:rowOff>27333</xdr:rowOff>
    </xdr:from>
    <xdr:to>
      <xdr:col>3</xdr:col>
      <xdr:colOff>11390</xdr:colOff>
      <xdr:row>24</xdr:row>
      <xdr:rowOff>149087</xdr:rowOff>
    </xdr:to>
    <xdr:cxnSp macro="">
      <xdr:nvCxnSpPr>
        <xdr:cNvPr id="5" name="Straight Connector 4">
          <a:extLst>
            <a:ext uri="{FF2B5EF4-FFF2-40B4-BE49-F238E27FC236}">
              <a16:creationId xmlns:a16="http://schemas.microsoft.com/office/drawing/2014/main" xmlns="" id="{00000000-0008-0000-0400-000005000000}"/>
            </a:ext>
          </a:extLst>
        </xdr:cNvPr>
        <xdr:cNvCxnSpPr>
          <a:stCxn id="2" idx="2"/>
        </xdr:cNvCxnSpPr>
      </xdr:nvCxnSpPr>
      <xdr:spPr>
        <a:xfrm flipH="1">
          <a:off x="2882348" y="954985"/>
          <a:ext cx="11390" cy="3583885"/>
        </a:xfrm>
        <a:prstGeom prst="line">
          <a:avLst/>
        </a:prstGeom>
        <a:ln w="28575">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246619</xdr:colOff>
      <xdr:row>3</xdr:row>
      <xdr:rowOff>171451</xdr:rowOff>
    </xdr:from>
    <xdr:to>
      <xdr:col>27</xdr:col>
      <xdr:colOff>16565</xdr:colOff>
      <xdr:row>24</xdr:row>
      <xdr:rowOff>99391</xdr:rowOff>
    </xdr:to>
    <xdr:cxnSp macro="">
      <xdr:nvCxnSpPr>
        <xdr:cNvPr id="7" name="Straight Connector 6">
          <a:extLst>
            <a:ext uri="{FF2B5EF4-FFF2-40B4-BE49-F238E27FC236}">
              <a16:creationId xmlns:a16="http://schemas.microsoft.com/office/drawing/2014/main" xmlns="" id="{00000000-0008-0000-0400-000007000000}"/>
            </a:ext>
          </a:extLst>
        </xdr:cNvPr>
        <xdr:cNvCxnSpPr/>
      </xdr:nvCxnSpPr>
      <xdr:spPr>
        <a:xfrm>
          <a:off x="8843967" y="734668"/>
          <a:ext cx="18424" cy="3754506"/>
        </a:xfrm>
        <a:prstGeom prst="line">
          <a:avLst/>
        </a:prstGeom>
        <a:ln w="28575">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223629</xdr:colOff>
      <xdr:row>23</xdr:row>
      <xdr:rowOff>74568</xdr:rowOff>
    </xdr:from>
    <xdr:to>
      <xdr:col>27</xdr:col>
      <xdr:colOff>8282</xdr:colOff>
      <xdr:row>23</xdr:row>
      <xdr:rowOff>74568</xdr:rowOff>
    </xdr:to>
    <xdr:cxnSp macro="">
      <xdr:nvCxnSpPr>
        <xdr:cNvPr id="12" name="Straight Arrow Connector 11">
          <a:extLst>
            <a:ext uri="{FF2B5EF4-FFF2-40B4-BE49-F238E27FC236}">
              <a16:creationId xmlns:a16="http://schemas.microsoft.com/office/drawing/2014/main" xmlns="" id="{00000000-0008-0000-0400-00000C000000}"/>
            </a:ext>
          </a:extLst>
        </xdr:cNvPr>
        <xdr:cNvCxnSpPr/>
      </xdr:nvCxnSpPr>
      <xdr:spPr>
        <a:xfrm>
          <a:off x="2857499" y="4282133"/>
          <a:ext cx="5996609" cy="0"/>
        </a:xfrm>
        <a:prstGeom prst="straightConnector1">
          <a:avLst/>
        </a:prstGeom>
        <a:ln w="19050">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M743.00@RM966.00/4%20(4%20marks/PD)-%20Nos%203.d.i%20+%203.d.ii%20perlu%20sama%20dengan%20nos%203.c.-%20Tapak%20yang%20boleh%20diakses%20dengan%20kenderaan-%20Juruukur%20perlu%20kemukakan%20laporan%20GPS%20kepada%20JKR%20sebelum%20bayaran%20dibua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Q2615"/>
  <sheetViews>
    <sheetView view="pageBreakPreview" zoomScale="90" zoomScaleNormal="90" zoomScaleSheetLayoutView="90" zoomScalePageLayoutView="85" workbookViewId="0">
      <selection activeCell="B8" sqref="B8"/>
    </sheetView>
  </sheetViews>
  <sheetFormatPr defaultRowHeight="12.75" x14ac:dyDescent="0.25"/>
  <cols>
    <col min="1" max="1" width="5.7109375" style="8" customWidth="1"/>
    <col min="2" max="2" width="45.7109375" style="8" customWidth="1"/>
    <col min="3" max="3" width="18.140625" style="8" bestFit="1" customWidth="1"/>
    <col min="4" max="4" width="10.7109375" style="8" customWidth="1"/>
    <col min="5" max="5" width="9.5703125" style="8" bestFit="1" customWidth="1"/>
    <col min="6" max="6" width="16.140625" style="2" bestFit="1" customWidth="1"/>
    <col min="7" max="7" width="10.7109375" style="8" customWidth="1"/>
    <col min="8" max="8" width="16.140625" style="2" bestFit="1" customWidth="1"/>
    <col min="9" max="9" width="10.7109375" style="8" customWidth="1"/>
    <col min="10" max="10" width="50.28515625" style="112" customWidth="1"/>
    <col min="11" max="11" width="14.5703125" style="8" customWidth="1"/>
    <col min="12" max="12" width="44.28515625" style="8" customWidth="1"/>
    <col min="13" max="258" width="9.140625" style="8"/>
    <col min="259" max="259" width="5.85546875" style="8" customWidth="1"/>
    <col min="260" max="260" width="43" style="8" customWidth="1"/>
    <col min="261" max="261" width="13.85546875" style="8" customWidth="1"/>
    <col min="262" max="262" width="9.140625" style="8"/>
    <col min="263" max="263" width="8.5703125" style="8" customWidth="1"/>
    <col min="264" max="264" width="9" style="8" customWidth="1"/>
    <col min="265" max="265" width="10.5703125" style="8" customWidth="1"/>
    <col min="266" max="514" width="9.140625" style="8"/>
    <col min="515" max="515" width="5.85546875" style="8" customWidth="1"/>
    <col min="516" max="516" width="43" style="8" customWidth="1"/>
    <col min="517" max="517" width="13.85546875" style="8" customWidth="1"/>
    <col min="518" max="518" width="9.140625" style="8"/>
    <col min="519" max="519" width="8.5703125" style="8" customWidth="1"/>
    <col min="520" max="520" width="9" style="8" customWidth="1"/>
    <col min="521" max="521" width="10.5703125" style="8" customWidth="1"/>
    <col min="522" max="770" width="9.140625" style="8"/>
    <col min="771" max="771" width="5.85546875" style="8" customWidth="1"/>
    <col min="772" max="772" width="43" style="8" customWidth="1"/>
    <col min="773" max="773" width="13.85546875" style="8" customWidth="1"/>
    <col min="774" max="774" width="9.140625" style="8"/>
    <col min="775" max="775" width="8.5703125" style="8" customWidth="1"/>
    <col min="776" max="776" width="9" style="8" customWidth="1"/>
    <col min="777" max="777" width="10.5703125" style="8" customWidth="1"/>
    <col min="778" max="1026" width="9.140625" style="8"/>
    <col min="1027" max="1027" width="5.85546875" style="8" customWidth="1"/>
    <col min="1028" max="1028" width="43" style="8" customWidth="1"/>
    <col min="1029" max="1029" width="13.85546875" style="8" customWidth="1"/>
    <col min="1030" max="1030" width="9.140625" style="8"/>
    <col min="1031" max="1031" width="8.5703125" style="8" customWidth="1"/>
    <col min="1032" max="1032" width="9" style="8" customWidth="1"/>
    <col min="1033" max="1033" width="10.5703125" style="8" customWidth="1"/>
    <col min="1034" max="1282" width="9.140625" style="8"/>
    <col min="1283" max="1283" width="5.85546875" style="8" customWidth="1"/>
    <col min="1284" max="1284" width="43" style="8" customWidth="1"/>
    <col min="1285" max="1285" width="13.85546875" style="8" customWidth="1"/>
    <col min="1286" max="1286" width="9.140625" style="8"/>
    <col min="1287" max="1287" width="8.5703125" style="8" customWidth="1"/>
    <col min="1288" max="1288" width="9" style="8" customWidth="1"/>
    <col min="1289" max="1289" width="10.5703125" style="8" customWidth="1"/>
    <col min="1290" max="1538" width="9.140625" style="8"/>
    <col min="1539" max="1539" width="5.85546875" style="8" customWidth="1"/>
    <col min="1540" max="1540" width="43" style="8" customWidth="1"/>
    <col min="1541" max="1541" width="13.85546875" style="8" customWidth="1"/>
    <col min="1542" max="1542" width="9.140625" style="8"/>
    <col min="1543" max="1543" width="8.5703125" style="8" customWidth="1"/>
    <col min="1544" max="1544" width="9" style="8" customWidth="1"/>
    <col min="1545" max="1545" width="10.5703125" style="8" customWidth="1"/>
    <col min="1546" max="1794" width="9.140625" style="8"/>
    <col min="1795" max="1795" width="5.85546875" style="8" customWidth="1"/>
    <col min="1796" max="1796" width="43" style="8" customWidth="1"/>
    <col min="1797" max="1797" width="13.85546875" style="8" customWidth="1"/>
    <col min="1798" max="1798" width="9.140625" style="8"/>
    <col min="1799" max="1799" width="8.5703125" style="8" customWidth="1"/>
    <col min="1800" max="1800" width="9" style="8" customWidth="1"/>
    <col min="1801" max="1801" width="10.5703125" style="8" customWidth="1"/>
    <col min="1802" max="2050" width="9.140625" style="8"/>
    <col min="2051" max="2051" width="5.85546875" style="8" customWidth="1"/>
    <col min="2052" max="2052" width="43" style="8" customWidth="1"/>
    <col min="2053" max="2053" width="13.85546875" style="8" customWidth="1"/>
    <col min="2054" max="2054" width="9.140625" style="8"/>
    <col min="2055" max="2055" width="8.5703125" style="8" customWidth="1"/>
    <col min="2056" max="2056" width="9" style="8" customWidth="1"/>
    <col min="2057" max="2057" width="10.5703125" style="8" customWidth="1"/>
    <col min="2058" max="2306" width="9.140625" style="8"/>
    <col min="2307" max="2307" width="5.85546875" style="8" customWidth="1"/>
    <col min="2308" max="2308" width="43" style="8" customWidth="1"/>
    <col min="2309" max="2309" width="13.85546875" style="8" customWidth="1"/>
    <col min="2310" max="2310" width="9.140625" style="8"/>
    <col min="2311" max="2311" width="8.5703125" style="8" customWidth="1"/>
    <col min="2312" max="2312" width="9" style="8" customWidth="1"/>
    <col min="2313" max="2313" width="10.5703125" style="8" customWidth="1"/>
    <col min="2314" max="2562" width="9.140625" style="8"/>
    <col min="2563" max="2563" width="5.85546875" style="8" customWidth="1"/>
    <col min="2564" max="2564" width="43" style="8" customWidth="1"/>
    <col min="2565" max="2565" width="13.85546875" style="8" customWidth="1"/>
    <col min="2566" max="2566" width="9.140625" style="8"/>
    <col min="2567" max="2567" width="8.5703125" style="8" customWidth="1"/>
    <col min="2568" max="2568" width="9" style="8" customWidth="1"/>
    <col min="2569" max="2569" width="10.5703125" style="8" customWidth="1"/>
    <col min="2570" max="2818" width="9.140625" style="8"/>
    <col min="2819" max="2819" width="5.85546875" style="8" customWidth="1"/>
    <col min="2820" max="2820" width="43" style="8" customWidth="1"/>
    <col min="2821" max="2821" width="13.85546875" style="8" customWidth="1"/>
    <col min="2822" max="2822" width="9.140625" style="8"/>
    <col min="2823" max="2823" width="8.5703125" style="8" customWidth="1"/>
    <col min="2824" max="2824" width="9" style="8" customWidth="1"/>
    <col min="2825" max="2825" width="10.5703125" style="8" customWidth="1"/>
    <col min="2826" max="3074" width="9.140625" style="8"/>
    <col min="3075" max="3075" width="5.85546875" style="8" customWidth="1"/>
    <col min="3076" max="3076" width="43" style="8" customWidth="1"/>
    <col min="3077" max="3077" width="13.85546875" style="8" customWidth="1"/>
    <col min="3078" max="3078" width="9.140625" style="8"/>
    <col min="3079" max="3079" width="8.5703125" style="8" customWidth="1"/>
    <col min="3080" max="3080" width="9" style="8" customWidth="1"/>
    <col min="3081" max="3081" width="10.5703125" style="8" customWidth="1"/>
    <col min="3082" max="3330" width="9.140625" style="8"/>
    <col min="3331" max="3331" width="5.85546875" style="8" customWidth="1"/>
    <col min="3332" max="3332" width="43" style="8" customWidth="1"/>
    <col min="3333" max="3333" width="13.85546875" style="8" customWidth="1"/>
    <col min="3334" max="3334" width="9.140625" style="8"/>
    <col min="3335" max="3335" width="8.5703125" style="8" customWidth="1"/>
    <col min="3336" max="3336" width="9" style="8" customWidth="1"/>
    <col min="3337" max="3337" width="10.5703125" style="8" customWidth="1"/>
    <col min="3338" max="3586" width="9.140625" style="8"/>
    <col min="3587" max="3587" width="5.85546875" style="8" customWidth="1"/>
    <col min="3588" max="3588" width="43" style="8" customWidth="1"/>
    <col min="3589" max="3589" width="13.85546875" style="8" customWidth="1"/>
    <col min="3590" max="3590" width="9.140625" style="8"/>
    <col min="3591" max="3591" width="8.5703125" style="8" customWidth="1"/>
    <col min="3592" max="3592" width="9" style="8" customWidth="1"/>
    <col min="3593" max="3593" width="10.5703125" style="8" customWidth="1"/>
    <col min="3594" max="3842" width="9.140625" style="8"/>
    <col min="3843" max="3843" width="5.85546875" style="8" customWidth="1"/>
    <col min="3844" max="3844" width="43" style="8" customWidth="1"/>
    <col min="3845" max="3845" width="13.85546875" style="8" customWidth="1"/>
    <col min="3846" max="3846" width="9.140625" style="8"/>
    <col min="3847" max="3847" width="8.5703125" style="8" customWidth="1"/>
    <col min="3848" max="3848" width="9" style="8" customWidth="1"/>
    <col min="3849" max="3849" width="10.5703125" style="8" customWidth="1"/>
    <col min="3850" max="4098" width="9.140625" style="8"/>
    <col min="4099" max="4099" width="5.85546875" style="8" customWidth="1"/>
    <col min="4100" max="4100" width="43" style="8" customWidth="1"/>
    <col min="4101" max="4101" width="13.85546875" style="8" customWidth="1"/>
    <col min="4102" max="4102" width="9.140625" style="8"/>
    <col min="4103" max="4103" width="8.5703125" style="8" customWidth="1"/>
    <col min="4104" max="4104" width="9" style="8" customWidth="1"/>
    <col min="4105" max="4105" width="10.5703125" style="8" customWidth="1"/>
    <col min="4106" max="4354" width="9.140625" style="8"/>
    <col min="4355" max="4355" width="5.85546875" style="8" customWidth="1"/>
    <col min="4356" max="4356" width="43" style="8" customWidth="1"/>
    <col min="4357" max="4357" width="13.85546875" style="8" customWidth="1"/>
    <col min="4358" max="4358" width="9.140625" style="8"/>
    <col min="4359" max="4359" width="8.5703125" style="8" customWidth="1"/>
    <col min="4360" max="4360" width="9" style="8" customWidth="1"/>
    <col min="4361" max="4361" width="10.5703125" style="8" customWidth="1"/>
    <col min="4362" max="4610" width="9.140625" style="8"/>
    <col min="4611" max="4611" width="5.85546875" style="8" customWidth="1"/>
    <col min="4612" max="4612" width="43" style="8" customWidth="1"/>
    <col min="4613" max="4613" width="13.85546875" style="8" customWidth="1"/>
    <col min="4614" max="4614" width="9.140625" style="8"/>
    <col min="4615" max="4615" width="8.5703125" style="8" customWidth="1"/>
    <col min="4616" max="4616" width="9" style="8" customWidth="1"/>
    <col min="4617" max="4617" width="10.5703125" style="8" customWidth="1"/>
    <col min="4618" max="4866" width="9.140625" style="8"/>
    <col min="4867" max="4867" width="5.85546875" style="8" customWidth="1"/>
    <col min="4868" max="4868" width="43" style="8" customWidth="1"/>
    <col min="4869" max="4869" width="13.85546875" style="8" customWidth="1"/>
    <col min="4870" max="4870" width="9.140625" style="8"/>
    <col min="4871" max="4871" width="8.5703125" style="8" customWidth="1"/>
    <col min="4872" max="4872" width="9" style="8" customWidth="1"/>
    <col min="4873" max="4873" width="10.5703125" style="8" customWidth="1"/>
    <col min="4874" max="5122" width="9.140625" style="8"/>
    <col min="5123" max="5123" width="5.85546875" style="8" customWidth="1"/>
    <col min="5124" max="5124" width="43" style="8" customWidth="1"/>
    <col min="5125" max="5125" width="13.85546875" style="8" customWidth="1"/>
    <col min="5126" max="5126" width="9.140625" style="8"/>
    <col min="5127" max="5127" width="8.5703125" style="8" customWidth="1"/>
    <col min="5128" max="5128" width="9" style="8" customWidth="1"/>
    <col min="5129" max="5129" width="10.5703125" style="8" customWidth="1"/>
    <col min="5130" max="5378" width="9.140625" style="8"/>
    <col min="5379" max="5379" width="5.85546875" style="8" customWidth="1"/>
    <col min="5380" max="5380" width="43" style="8" customWidth="1"/>
    <col min="5381" max="5381" width="13.85546875" style="8" customWidth="1"/>
    <col min="5382" max="5382" width="9.140625" style="8"/>
    <col min="5383" max="5383" width="8.5703125" style="8" customWidth="1"/>
    <col min="5384" max="5384" width="9" style="8" customWidth="1"/>
    <col min="5385" max="5385" width="10.5703125" style="8" customWidth="1"/>
    <col min="5386" max="5634" width="9.140625" style="8"/>
    <col min="5635" max="5635" width="5.85546875" style="8" customWidth="1"/>
    <col min="5636" max="5636" width="43" style="8" customWidth="1"/>
    <col min="5637" max="5637" width="13.85546875" style="8" customWidth="1"/>
    <col min="5638" max="5638" width="9.140625" style="8"/>
    <col min="5639" max="5639" width="8.5703125" style="8" customWidth="1"/>
    <col min="5640" max="5640" width="9" style="8" customWidth="1"/>
    <col min="5641" max="5641" width="10.5703125" style="8" customWidth="1"/>
    <col min="5642" max="5890" width="9.140625" style="8"/>
    <col min="5891" max="5891" width="5.85546875" style="8" customWidth="1"/>
    <col min="5892" max="5892" width="43" style="8" customWidth="1"/>
    <col min="5893" max="5893" width="13.85546875" style="8" customWidth="1"/>
    <col min="5894" max="5894" width="9.140625" style="8"/>
    <col min="5895" max="5895" width="8.5703125" style="8" customWidth="1"/>
    <col min="5896" max="5896" width="9" style="8" customWidth="1"/>
    <col min="5897" max="5897" width="10.5703125" style="8" customWidth="1"/>
    <col min="5898" max="6146" width="9.140625" style="8"/>
    <col min="6147" max="6147" width="5.85546875" style="8" customWidth="1"/>
    <col min="6148" max="6148" width="43" style="8" customWidth="1"/>
    <col min="6149" max="6149" width="13.85546875" style="8" customWidth="1"/>
    <col min="6150" max="6150" width="9.140625" style="8"/>
    <col min="6151" max="6151" width="8.5703125" style="8" customWidth="1"/>
    <col min="6152" max="6152" width="9" style="8" customWidth="1"/>
    <col min="6153" max="6153" width="10.5703125" style="8" customWidth="1"/>
    <col min="6154" max="6402" width="9.140625" style="8"/>
    <col min="6403" max="6403" width="5.85546875" style="8" customWidth="1"/>
    <col min="6404" max="6404" width="43" style="8" customWidth="1"/>
    <col min="6405" max="6405" width="13.85546875" style="8" customWidth="1"/>
    <col min="6406" max="6406" width="9.140625" style="8"/>
    <col min="6407" max="6407" width="8.5703125" style="8" customWidth="1"/>
    <col min="6408" max="6408" width="9" style="8" customWidth="1"/>
    <col min="6409" max="6409" width="10.5703125" style="8" customWidth="1"/>
    <col min="6410" max="6658" width="9.140625" style="8"/>
    <col min="6659" max="6659" width="5.85546875" style="8" customWidth="1"/>
    <col min="6660" max="6660" width="43" style="8" customWidth="1"/>
    <col min="6661" max="6661" width="13.85546875" style="8" customWidth="1"/>
    <col min="6662" max="6662" width="9.140625" style="8"/>
    <col min="6663" max="6663" width="8.5703125" style="8" customWidth="1"/>
    <col min="6664" max="6664" width="9" style="8" customWidth="1"/>
    <col min="6665" max="6665" width="10.5703125" style="8" customWidth="1"/>
    <col min="6666" max="6914" width="9.140625" style="8"/>
    <col min="6915" max="6915" width="5.85546875" style="8" customWidth="1"/>
    <col min="6916" max="6916" width="43" style="8" customWidth="1"/>
    <col min="6917" max="6917" width="13.85546875" style="8" customWidth="1"/>
    <col min="6918" max="6918" width="9.140625" style="8"/>
    <col min="6919" max="6919" width="8.5703125" style="8" customWidth="1"/>
    <col min="6920" max="6920" width="9" style="8" customWidth="1"/>
    <col min="6921" max="6921" width="10.5703125" style="8" customWidth="1"/>
    <col min="6922" max="7170" width="9.140625" style="8"/>
    <col min="7171" max="7171" width="5.85546875" style="8" customWidth="1"/>
    <col min="7172" max="7172" width="43" style="8" customWidth="1"/>
    <col min="7173" max="7173" width="13.85546875" style="8" customWidth="1"/>
    <col min="7174" max="7174" width="9.140625" style="8"/>
    <col min="7175" max="7175" width="8.5703125" style="8" customWidth="1"/>
    <col min="7176" max="7176" width="9" style="8" customWidth="1"/>
    <col min="7177" max="7177" width="10.5703125" style="8" customWidth="1"/>
    <col min="7178" max="7426" width="9.140625" style="8"/>
    <col min="7427" max="7427" width="5.85546875" style="8" customWidth="1"/>
    <col min="7428" max="7428" width="43" style="8" customWidth="1"/>
    <col min="7429" max="7429" width="13.85546875" style="8" customWidth="1"/>
    <col min="7430" max="7430" width="9.140625" style="8"/>
    <col min="7431" max="7431" width="8.5703125" style="8" customWidth="1"/>
    <col min="7432" max="7432" width="9" style="8" customWidth="1"/>
    <col min="7433" max="7433" width="10.5703125" style="8" customWidth="1"/>
    <col min="7434" max="7682" width="9.140625" style="8"/>
    <col min="7683" max="7683" width="5.85546875" style="8" customWidth="1"/>
    <col min="7684" max="7684" width="43" style="8" customWidth="1"/>
    <col min="7685" max="7685" width="13.85546875" style="8" customWidth="1"/>
    <col min="7686" max="7686" width="9.140625" style="8"/>
    <col min="7687" max="7687" width="8.5703125" style="8" customWidth="1"/>
    <col min="7688" max="7688" width="9" style="8" customWidth="1"/>
    <col min="7689" max="7689" width="10.5703125" style="8" customWidth="1"/>
    <col min="7690" max="7938" width="9.140625" style="8"/>
    <col min="7939" max="7939" width="5.85546875" style="8" customWidth="1"/>
    <col min="7940" max="7940" width="43" style="8" customWidth="1"/>
    <col min="7941" max="7941" width="13.85546875" style="8" customWidth="1"/>
    <col min="7942" max="7942" width="9.140625" style="8"/>
    <col min="7943" max="7943" width="8.5703125" style="8" customWidth="1"/>
    <col min="7944" max="7944" width="9" style="8" customWidth="1"/>
    <col min="7945" max="7945" width="10.5703125" style="8" customWidth="1"/>
    <col min="7946" max="8194" width="9.140625" style="8"/>
    <col min="8195" max="8195" width="5.85546875" style="8" customWidth="1"/>
    <col min="8196" max="8196" width="43" style="8" customWidth="1"/>
    <col min="8197" max="8197" width="13.85546875" style="8" customWidth="1"/>
    <col min="8198" max="8198" width="9.140625" style="8"/>
    <col min="8199" max="8199" width="8.5703125" style="8" customWidth="1"/>
    <col min="8200" max="8200" width="9" style="8" customWidth="1"/>
    <col min="8201" max="8201" width="10.5703125" style="8" customWidth="1"/>
    <col min="8202" max="8450" width="9.140625" style="8"/>
    <col min="8451" max="8451" width="5.85546875" style="8" customWidth="1"/>
    <col min="8452" max="8452" width="43" style="8" customWidth="1"/>
    <col min="8453" max="8453" width="13.85546875" style="8" customWidth="1"/>
    <col min="8454" max="8454" width="9.140625" style="8"/>
    <col min="8455" max="8455" width="8.5703125" style="8" customWidth="1"/>
    <col min="8456" max="8456" width="9" style="8" customWidth="1"/>
    <col min="8457" max="8457" width="10.5703125" style="8" customWidth="1"/>
    <col min="8458" max="8706" width="9.140625" style="8"/>
    <col min="8707" max="8707" width="5.85546875" style="8" customWidth="1"/>
    <col min="8708" max="8708" width="43" style="8" customWidth="1"/>
    <col min="8709" max="8709" width="13.85546875" style="8" customWidth="1"/>
    <col min="8710" max="8710" width="9.140625" style="8"/>
    <col min="8711" max="8711" width="8.5703125" style="8" customWidth="1"/>
    <col min="8712" max="8712" width="9" style="8" customWidth="1"/>
    <col min="8713" max="8713" width="10.5703125" style="8" customWidth="1"/>
    <col min="8714" max="8962" width="9.140625" style="8"/>
    <col min="8963" max="8963" width="5.85546875" style="8" customWidth="1"/>
    <col min="8964" max="8964" width="43" style="8" customWidth="1"/>
    <col min="8965" max="8965" width="13.85546875" style="8" customWidth="1"/>
    <col min="8966" max="8966" width="9.140625" style="8"/>
    <col min="8967" max="8967" width="8.5703125" style="8" customWidth="1"/>
    <col min="8968" max="8968" width="9" style="8" customWidth="1"/>
    <col min="8969" max="8969" width="10.5703125" style="8" customWidth="1"/>
    <col min="8970" max="9218" width="9.140625" style="8"/>
    <col min="9219" max="9219" width="5.85546875" style="8" customWidth="1"/>
    <col min="9220" max="9220" width="43" style="8" customWidth="1"/>
    <col min="9221" max="9221" width="13.85546875" style="8" customWidth="1"/>
    <col min="9222" max="9222" width="9.140625" style="8"/>
    <col min="9223" max="9223" width="8.5703125" style="8" customWidth="1"/>
    <col min="9224" max="9224" width="9" style="8" customWidth="1"/>
    <col min="9225" max="9225" width="10.5703125" style="8" customWidth="1"/>
    <col min="9226" max="9474" width="9.140625" style="8"/>
    <col min="9475" max="9475" width="5.85546875" style="8" customWidth="1"/>
    <col min="9476" max="9476" width="43" style="8" customWidth="1"/>
    <col min="9477" max="9477" width="13.85546875" style="8" customWidth="1"/>
    <col min="9478" max="9478" width="9.140625" style="8"/>
    <col min="9479" max="9479" width="8.5703125" style="8" customWidth="1"/>
    <col min="9480" max="9480" width="9" style="8" customWidth="1"/>
    <col min="9481" max="9481" width="10.5703125" style="8" customWidth="1"/>
    <col min="9482" max="9730" width="9.140625" style="8"/>
    <col min="9731" max="9731" width="5.85546875" style="8" customWidth="1"/>
    <col min="9732" max="9732" width="43" style="8" customWidth="1"/>
    <col min="9733" max="9733" width="13.85546875" style="8" customWidth="1"/>
    <col min="9734" max="9734" width="9.140625" style="8"/>
    <col min="9735" max="9735" width="8.5703125" style="8" customWidth="1"/>
    <col min="9736" max="9736" width="9" style="8" customWidth="1"/>
    <col min="9737" max="9737" width="10.5703125" style="8" customWidth="1"/>
    <col min="9738" max="9986" width="9.140625" style="8"/>
    <col min="9987" max="9987" width="5.85546875" style="8" customWidth="1"/>
    <col min="9988" max="9988" width="43" style="8" customWidth="1"/>
    <col min="9989" max="9989" width="13.85546875" style="8" customWidth="1"/>
    <col min="9990" max="9990" width="9.140625" style="8"/>
    <col min="9991" max="9991" width="8.5703125" style="8" customWidth="1"/>
    <col min="9992" max="9992" width="9" style="8" customWidth="1"/>
    <col min="9993" max="9993" width="10.5703125" style="8" customWidth="1"/>
    <col min="9994" max="10242" width="9.140625" style="8"/>
    <col min="10243" max="10243" width="5.85546875" style="8" customWidth="1"/>
    <col min="10244" max="10244" width="43" style="8" customWidth="1"/>
    <col min="10245" max="10245" width="13.85546875" style="8" customWidth="1"/>
    <col min="10246" max="10246" width="9.140625" style="8"/>
    <col min="10247" max="10247" width="8.5703125" style="8" customWidth="1"/>
    <col min="10248" max="10248" width="9" style="8" customWidth="1"/>
    <col min="10249" max="10249" width="10.5703125" style="8" customWidth="1"/>
    <col min="10250" max="10498" width="9.140625" style="8"/>
    <col min="10499" max="10499" width="5.85546875" style="8" customWidth="1"/>
    <col min="10500" max="10500" width="43" style="8" customWidth="1"/>
    <col min="10501" max="10501" width="13.85546875" style="8" customWidth="1"/>
    <col min="10502" max="10502" width="9.140625" style="8"/>
    <col min="10503" max="10503" width="8.5703125" style="8" customWidth="1"/>
    <col min="10504" max="10504" width="9" style="8" customWidth="1"/>
    <col min="10505" max="10505" width="10.5703125" style="8" customWidth="1"/>
    <col min="10506" max="10754" width="9.140625" style="8"/>
    <col min="10755" max="10755" width="5.85546875" style="8" customWidth="1"/>
    <col min="10756" max="10756" width="43" style="8" customWidth="1"/>
    <col min="10757" max="10757" width="13.85546875" style="8" customWidth="1"/>
    <col min="10758" max="10758" width="9.140625" style="8"/>
    <col min="10759" max="10759" width="8.5703125" style="8" customWidth="1"/>
    <col min="10760" max="10760" width="9" style="8" customWidth="1"/>
    <col min="10761" max="10761" width="10.5703125" style="8" customWidth="1"/>
    <col min="10762" max="11010" width="9.140625" style="8"/>
    <col min="11011" max="11011" width="5.85546875" style="8" customWidth="1"/>
    <col min="11012" max="11012" width="43" style="8" customWidth="1"/>
    <col min="11013" max="11013" width="13.85546875" style="8" customWidth="1"/>
    <col min="11014" max="11014" width="9.140625" style="8"/>
    <col min="11015" max="11015" width="8.5703125" style="8" customWidth="1"/>
    <col min="11016" max="11016" width="9" style="8" customWidth="1"/>
    <col min="11017" max="11017" width="10.5703125" style="8" customWidth="1"/>
    <col min="11018" max="11266" width="9.140625" style="8"/>
    <col min="11267" max="11267" width="5.85546875" style="8" customWidth="1"/>
    <col min="11268" max="11268" width="43" style="8" customWidth="1"/>
    <col min="11269" max="11269" width="13.85546875" style="8" customWidth="1"/>
    <col min="11270" max="11270" width="9.140625" style="8"/>
    <col min="11271" max="11271" width="8.5703125" style="8" customWidth="1"/>
    <col min="11272" max="11272" width="9" style="8" customWidth="1"/>
    <col min="11273" max="11273" width="10.5703125" style="8" customWidth="1"/>
    <col min="11274" max="11522" width="9.140625" style="8"/>
    <col min="11523" max="11523" width="5.85546875" style="8" customWidth="1"/>
    <col min="11524" max="11524" width="43" style="8" customWidth="1"/>
    <col min="11525" max="11525" width="13.85546875" style="8" customWidth="1"/>
    <col min="11526" max="11526" width="9.140625" style="8"/>
    <col min="11527" max="11527" width="8.5703125" style="8" customWidth="1"/>
    <col min="11528" max="11528" width="9" style="8" customWidth="1"/>
    <col min="11529" max="11529" width="10.5703125" style="8" customWidth="1"/>
    <col min="11530" max="11778" width="9.140625" style="8"/>
    <col min="11779" max="11779" width="5.85546875" style="8" customWidth="1"/>
    <col min="11780" max="11780" width="43" style="8" customWidth="1"/>
    <col min="11781" max="11781" width="13.85546875" style="8" customWidth="1"/>
    <col min="11782" max="11782" width="9.140625" style="8"/>
    <col min="11783" max="11783" width="8.5703125" style="8" customWidth="1"/>
    <col min="11784" max="11784" width="9" style="8" customWidth="1"/>
    <col min="11785" max="11785" width="10.5703125" style="8" customWidth="1"/>
    <col min="11786" max="12034" width="9.140625" style="8"/>
    <col min="12035" max="12035" width="5.85546875" style="8" customWidth="1"/>
    <col min="12036" max="12036" width="43" style="8" customWidth="1"/>
    <col min="12037" max="12037" width="13.85546875" style="8" customWidth="1"/>
    <col min="12038" max="12038" width="9.140625" style="8"/>
    <col min="12039" max="12039" width="8.5703125" style="8" customWidth="1"/>
    <col min="12040" max="12040" width="9" style="8" customWidth="1"/>
    <col min="12041" max="12041" width="10.5703125" style="8" customWidth="1"/>
    <col min="12042" max="12290" width="9.140625" style="8"/>
    <col min="12291" max="12291" width="5.85546875" style="8" customWidth="1"/>
    <col min="12292" max="12292" width="43" style="8" customWidth="1"/>
    <col min="12293" max="12293" width="13.85546875" style="8" customWidth="1"/>
    <col min="12294" max="12294" width="9.140625" style="8"/>
    <col min="12295" max="12295" width="8.5703125" style="8" customWidth="1"/>
    <col min="12296" max="12296" width="9" style="8" customWidth="1"/>
    <col min="12297" max="12297" width="10.5703125" style="8" customWidth="1"/>
    <col min="12298" max="12546" width="9.140625" style="8"/>
    <col min="12547" max="12547" width="5.85546875" style="8" customWidth="1"/>
    <col min="12548" max="12548" width="43" style="8" customWidth="1"/>
    <col min="12549" max="12549" width="13.85546875" style="8" customWidth="1"/>
    <col min="12550" max="12550" width="9.140625" style="8"/>
    <col min="12551" max="12551" width="8.5703125" style="8" customWidth="1"/>
    <col min="12552" max="12552" width="9" style="8" customWidth="1"/>
    <col min="12553" max="12553" width="10.5703125" style="8" customWidth="1"/>
    <col min="12554" max="12802" width="9.140625" style="8"/>
    <col min="12803" max="12803" width="5.85546875" style="8" customWidth="1"/>
    <col min="12804" max="12804" width="43" style="8" customWidth="1"/>
    <col min="12805" max="12805" width="13.85546875" style="8" customWidth="1"/>
    <col min="12806" max="12806" width="9.140625" style="8"/>
    <col min="12807" max="12807" width="8.5703125" style="8" customWidth="1"/>
    <col min="12808" max="12808" width="9" style="8" customWidth="1"/>
    <col min="12809" max="12809" width="10.5703125" style="8" customWidth="1"/>
    <col min="12810" max="13058" width="9.140625" style="8"/>
    <col min="13059" max="13059" width="5.85546875" style="8" customWidth="1"/>
    <col min="13060" max="13060" width="43" style="8" customWidth="1"/>
    <col min="13061" max="13061" width="13.85546875" style="8" customWidth="1"/>
    <col min="13062" max="13062" width="9.140625" style="8"/>
    <col min="13063" max="13063" width="8.5703125" style="8" customWidth="1"/>
    <col min="13064" max="13064" width="9" style="8" customWidth="1"/>
    <col min="13065" max="13065" width="10.5703125" style="8" customWidth="1"/>
    <col min="13066" max="13314" width="9.140625" style="8"/>
    <col min="13315" max="13315" width="5.85546875" style="8" customWidth="1"/>
    <col min="13316" max="13316" width="43" style="8" customWidth="1"/>
    <col min="13317" max="13317" width="13.85546875" style="8" customWidth="1"/>
    <col min="13318" max="13318" width="9.140625" style="8"/>
    <col min="13319" max="13319" width="8.5703125" style="8" customWidth="1"/>
    <col min="13320" max="13320" width="9" style="8" customWidth="1"/>
    <col min="13321" max="13321" width="10.5703125" style="8" customWidth="1"/>
    <col min="13322" max="13570" width="9.140625" style="8"/>
    <col min="13571" max="13571" width="5.85546875" style="8" customWidth="1"/>
    <col min="13572" max="13572" width="43" style="8" customWidth="1"/>
    <col min="13573" max="13573" width="13.85546875" style="8" customWidth="1"/>
    <col min="13574" max="13574" width="9.140625" style="8"/>
    <col min="13575" max="13575" width="8.5703125" style="8" customWidth="1"/>
    <col min="13576" max="13576" width="9" style="8" customWidth="1"/>
    <col min="13577" max="13577" width="10.5703125" style="8" customWidth="1"/>
    <col min="13578" max="13826" width="9.140625" style="8"/>
    <col min="13827" max="13827" width="5.85546875" style="8" customWidth="1"/>
    <col min="13828" max="13828" width="43" style="8" customWidth="1"/>
    <col min="13829" max="13829" width="13.85546875" style="8" customWidth="1"/>
    <col min="13830" max="13830" width="9.140625" style="8"/>
    <col min="13831" max="13831" width="8.5703125" style="8" customWidth="1"/>
    <col min="13832" max="13832" width="9" style="8" customWidth="1"/>
    <col min="13833" max="13833" width="10.5703125" style="8" customWidth="1"/>
    <col min="13834" max="14082" width="9.140625" style="8"/>
    <col min="14083" max="14083" width="5.85546875" style="8" customWidth="1"/>
    <col min="14084" max="14084" width="43" style="8" customWidth="1"/>
    <col min="14085" max="14085" width="13.85546875" style="8" customWidth="1"/>
    <col min="14086" max="14086" width="9.140625" style="8"/>
    <col min="14087" max="14087" width="8.5703125" style="8" customWidth="1"/>
    <col min="14088" max="14088" width="9" style="8" customWidth="1"/>
    <col min="14089" max="14089" width="10.5703125" style="8" customWidth="1"/>
    <col min="14090" max="14338" width="9.140625" style="8"/>
    <col min="14339" max="14339" width="5.85546875" style="8" customWidth="1"/>
    <col min="14340" max="14340" width="43" style="8" customWidth="1"/>
    <col min="14341" max="14341" width="13.85546875" style="8" customWidth="1"/>
    <col min="14342" max="14342" width="9.140625" style="8"/>
    <col min="14343" max="14343" width="8.5703125" style="8" customWidth="1"/>
    <col min="14344" max="14344" width="9" style="8" customWidth="1"/>
    <col min="14345" max="14345" width="10.5703125" style="8" customWidth="1"/>
    <col min="14346" max="14594" width="9.140625" style="8"/>
    <col min="14595" max="14595" width="5.85546875" style="8" customWidth="1"/>
    <col min="14596" max="14596" width="43" style="8" customWidth="1"/>
    <col min="14597" max="14597" width="13.85546875" style="8" customWidth="1"/>
    <col min="14598" max="14598" width="9.140625" style="8"/>
    <col min="14599" max="14599" width="8.5703125" style="8" customWidth="1"/>
    <col min="14600" max="14600" width="9" style="8" customWidth="1"/>
    <col min="14601" max="14601" width="10.5703125" style="8" customWidth="1"/>
    <col min="14602" max="14850" width="9.140625" style="8"/>
    <col min="14851" max="14851" width="5.85546875" style="8" customWidth="1"/>
    <col min="14852" max="14852" width="43" style="8" customWidth="1"/>
    <col min="14853" max="14853" width="13.85546875" style="8" customWidth="1"/>
    <col min="14854" max="14854" width="9.140625" style="8"/>
    <col min="14855" max="14855" width="8.5703125" style="8" customWidth="1"/>
    <col min="14856" max="14856" width="9" style="8" customWidth="1"/>
    <col min="14857" max="14857" width="10.5703125" style="8" customWidth="1"/>
    <col min="14858" max="15106" width="9.140625" style="8"/>
    <col min="15107" max="15107" width="5.85546875" style="8" customWidth="1"/>
    <col min="15108" max="15108" width="43" style="8" customWidth="1"/>
    <col min="15109" max="15109" width="13.85546875" style="8" customWidth="1"/>
    <col min="15110" max="15110" width="9.140625" style="8"/>
    <col min="15111" max="15111" width="8.5703125" style="8" customWidth="1"/>
    <col min="15112" max="15112" width="9" style="8" customWidth="1"/>
    <col min="15113" max="15113" width="10.5703125" style="8" customWidth="1"/>
    <col min="15114" max="15362" width="9.140625" style="8"/>
    <col min="15363" max="15363" width="5.85546875" style="8" customWidth="1"/>
    <col min="15364" max="15364" width="43" style="8" customWidth="1"/>
    <col min="15365" max="15365" width="13.85546875" style="8" customWidth="1"/>
    <col min="15366" max="15366" width="9.140625" style="8"/>
    <col min="15367" max="15367" width="8.5703125" style="8" customWidth="1"/>
    <col min="15368" max="15368" width="9" style="8" customWidth="1"/>
    <col min="15369" max="15369" width="10.5703125" style="8" customWidth="1"/>
    <col min="15370" max="15618" width="9.140625" style="8"/>
    <col min="15619" max="15619" width="5.85546875" style="8" customWidth="1"/>
    <col min="15620" max="15620" width="43" style="8" customWidth="1"/>
    <col min="15621" max="15621" width="13.85546875" style="8" customWidth="1"/>
    <col min="15622" max="15622" width="9.140625" style="8"/>
    <col min="15623" max="15623" width="8.5703125" style="8" customWidth="1"/>
    <col min="15624" max="15624" width="9" style="8" customWidth="1"/>
    <col min="15625" max="15625" width="10.5703125" style="8" customWidth="1"/>
    <col min="15626" max="15874" width="9.140625" style="8"/>
    <col min="15875" max="15875" width="5.85546875" style="8" customWidth="1"/>
    <col min="15876" max="15876" width="43" style="8" customWidth="1"/>
    <col min="15877" max="15877" width="13.85546875" style="8" customWidth="1"/>
    <col min="15878" max="15878" width="9.140625" style="8"/>
    <col min="15879" max="15879" width="8.5703125" style="8" customWidth="1"/>
    <col min="15880" max="15880" width="9" style="8" customWidth="1"/>
    <col min="15881" max="15881" width="10.5703125" style="8" customWidth="1"/>
    <col min="15882" max="16130" width="9.140625" style="8"/>
    <col min="16131" max="16131" width="5.85546875" style="8" customWidth="1"/>
    <col min="16132" max="16132" width="43" style="8" customWidth="1"/>
    <col min="16133" max="16133" width="13.85546875" style="8" customWidth="1"/>
    <col min="16134" max="16134" width="9.140625" style="8"/>
    <col min="16135" max="16135" width="8.5703125" style="8" customWidth="1"/>
    <col min="16136" max="16136" width="9" style="8" customWidth="1"/>
    <col min="16137" max="16137" width="10.5703125" style="8" customWidth="1"/>
    <col min="16138" max="16384" width="9.140625" style="8"/>
  </cols>
  <sheetData>
    <row r="1" spans="1:95" ht="13.15" x14ac:dyDescent="0.3">
      <c r="A1" s="29"/>
      <c r="B1" s="29"/>
      <c r="C1" s="29"/>
      <c r="D1" s="29"/>
      <c r="E1" s="29"/>
      <c r="F1" s="29"/>
      <c r="G1" s="29"/>
      <c r="H1" s="29"/>
      <c r="I1" s="29"/>
      <c r="J1" s="96"/>
    </row>
    <row r="2" spans="1:95" ht="15.6" x14ac:dyDescent="0.3">
      <c r="A2" s="466" t="s">
        <v>77</v>
      </c>
      <c r="B2" s="466"/>
      <c r="C2" s="466"/>
      <c r="D2" s="466"/>
      <c r="E2" s="466"/>
      <c r="F2" s="466"/>
      <c r="G2" s="466"/>
      <c r="H2" s="466"/>
      <c r="I2" s="466"/>
      <c r="J2" s="466"/>
    </row>
    <row r="3" spans="1:95" ht="13.15" x14ac:dyDescent="0.3">
      <c r="F3" s="8"/>
      <c r="G3" s="18"/>
      <c r="H3" s="8"/>
      <c r="I3" s="18"/>
      <c r="J3" s="97"/>
    </row>
    <row r="4" spans="1:95" ht="25.5" customHeight="1" x14ac:dyDescent="0.3">
      <c r="A4" s="467" t="s">
        <v>0</v>
      </c>
      <c r="B4" s="468"/>
      <c r="C4" s="468"/>
      <c r="D4" s="468"/>
      <c r="E4" s="468"/>
      <c r="F4" s="469" t="s">
        <v>180</v>
      </c>
      <c r="G4" s="469"/>
      <c r="H4" s="467" t="s">
        <v>181</v>
      </c>
      <c r="I4" s="468"/>
      <c r="J4" s="98" t="s">
        <v>201</v>
      </c>
    </row>
    <row r="5" spans="1:95" x14ac:dyDescent="0.25">
      <c r="A5" s="149" t="s">
        <v>1</v>
      </c>
      <c r="B5" s="19" t="s">
        <v>2</v>
      </c>
      <c r="C5" s="150" t="s">
        <v>3</v>
      </c>
      <c r="D5" s="149" t="s">
        <v>4</v>
      </c>
      <c r="E5" s="150" t="s">
        <v>5</v>
      </c>
      <c r="F5" s="149" t="s">
        <v>6</v>
      </c>
      <c r="G5" s="150" t="s">
        <v>7</v>
      </c>
      <c r="H5" s="149" t="s">
        <v>6</v>
      </c>
      <c r="I5" s="150" t="s">
        <v>7</v>
      </c>
      <c r="J5" s="470"/>
    </row>
    <row r="6" spans="1:95" x14ac:dyDescent="0.25">
      <c r="A6" s="9" t="s">
        <v>8</v>
      </c>
      <c r="B6" s="20"/>
      <c r="C6" s="85" t="s">
        <v>9</v>
      </c>
      <c r="D6" s="151"/>
      <c r="E6" s="85"/>
      <c r="F6" s="151" t="s">
        <v>10</v>
      </c>
      <c r="G6" s="85" t="s">
        <v>10</v>
      </c>
      <c r="H6" s="151" t="s">
        <v>10</v>
      </c>
      <c r="I6" s="85" t="s">
        <v>10</v>
      </c>
      <c r="J6" s="470"/>
    </row>
    <row r="7" spans="1:95" ht="13.15" x14ac:dyDescent="0.3">
      <c r="A7" s="149">
        <v>1</v>
      </c>
      <c r="B7" s="152" t="s">
        <v>247</v>
      </c>
      <c r="C7" s="41"/>
      <c r="D7" s="9"/>
      <c r="E7" s="41"/>
      <c r="F7" s="9"/>
      <c r="G7" s="41"/>
      <c r="H7" s="9"/>
      <c r="I7" s="41"/>
      <c r="J7" s="153"/>
    </row>
    <row r="8" spans="1:95" s="156" customFormat="1" ht="29.25" customHeight="1" x14ac:dyDescent="0.3">
      <c r="A8" s="80"/>
      <c r="B8" s="35" t="s">
        <v>11</v>
      </c>
      <c r="C8" s="114">
        <v>2.2000000000000002</v>
      </c>
      <c r="D8" s="22"/>
      <c r="E8" s="114" t="s">
        <v>12</v>
      </c>
      <c r="F8" s="25">
        <v>743</v>
      </c>
      <c r="G8" s="115">
        <f>D8*F8</f>
        <v>0</v>
      </c>
      <c r="H8" s="25">
        <v>966</v>
      </c>
      <c r="I8" s="115">
        <f>D8*H8</f>
        <v>0</v>
      </c>
      <c r="J8" s="154" t="s">
        <v>174</v>
      </c>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row>
    <row r="9" spans="1:95" s="159" customFormat="1" ht="127.5" customHeight="1" x14ac:dyDescent="0.3">
      <c r="A9" s="80"/>
      <c r="B9" s="157" t="s">
        <v>13</v>
      </c>
      <c r="C9" s="5">
        <v>2.2999999999999998</v>
      </c>
      <c r="D9" s="79"/>
      <c r="E9" s="5"/>
      <c r="F9" s="7"/>
      <c r="G9" s="158"/>
      <c r="H9" s="7"/>
      <c r="I9" s="158"/>
      <c r="J9" s="99" t="s">
        <v>349</v>
      </c>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row>
    <row r="10" spans="1:95" s="155" customFormat="1" ht="15" customHeight="1" x14ac:dyDescent="0.3">
      <c r="A10" s="80"/>
      <c r="B10" s="160" t="s">
        <v>14</v>
      </c>
      <c r="C10" s="15">
        <v>1.3</v>
      </c>
      <c r="D10" s="80"/>
      <c r="E10" s="15" t="s">
        <v>12</v>
      </c>
      <c r="F10" s="1">
        <f>$F$8</f>
        <v>743</v>
      </c>
      <c r="G10" s="161">
        <f t="shared" ref="G10:G27" si="0">D10*F10</f>
        <v>0</v>
      </c>
      <c r="H10" s="1">
        <f>$H$8</f>
        <v>966</v>
      </c>
      <c r="I10" s="161">
        <f t="shared" ref="I10:I27" si="1">D10*H10</f>
        <v>0</v>
      </c>
      <c r="J10" s="100"/>
    </row>
    <row r="11" spans="1:95" s="155" customFormat="1" ht="15" customHeight="1" x14ac:dyDescent="0.3">
      <c r="A11" s="80"/>
      <c r="B11" s="160" t="s">
        <v>35</v>
      </c>
      <c r="C11" s="15">
        <v>1.3</v>
      </c>
      <c r="D11" s="80"/>
      <c r="E11" s="15" t="s">
        <v>12</v>
      </c>
      <c r="F11" s="1">
        <f>$F$8*2</f>
        <v>1486</v>
      </c>
      <c r="G11" s="161">
        <f t="shared" si="0"/>
        <v>0</v>
      </c>
      <c r="H11" s="1">
        <f>$H$8*2</f>
        <v>1932</v>
      </c>
      <c r="I11" s="161">
        <f t="shared" si="1"/>
        <v>0</v>
      </c>
      <c r="J11" s="100"/>
    </row>
    <row r="12" spans="1:95" s="164" customFormat="1" ht="15" customHeight="1" x14ac:dyDescent="0.3">
      <c r="A12" s="80"/>
      <c r="B12" s="162" t="s">
        <v>111</v>
      </c>
      <c r="C12" s="17">
        <v>1.3</v>
      </c>
      <c r="D12" s="81"/>
      <c r="E12" s="17" t="s">
        <v>12</v>
      </c>
      <c r="F12" s="10">
        <f>$F$8*3</f>
        <v>2229</v>
      </c>
      <c r="G12" s="163">
        <f t="shared" si="0"/>
        <v>0</v>
      </c>
      <c r="H12" s="10">
        <f>$H$8*3</f>
        <v>2898</v>
      </c>
      <c r="I12" s="163">
        <f t="shared" si="1"/>
        <v>0</v>
      </c>
      <c r="J12" s="101"/>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row>
    <row r="13" spans="1:95" s="159" customFormat="1" ht="127.5" customHeight="1" x14ac:dyDescent="0.3">
      <c r="A13" s="80"/>
      <c r="B13" s="116" t="s">
        <v>248</v>
      </c>
      <c r="C13" s="61">
        <v>2.4</v>
      </c>
      <c r="D13" s="53"/>
      <c r="E13" s="63"/>
      <c r="F13" s="54"/>
      <c r="G13" s="56"/>
      <c r="H13" s="54"/>
      <c r="I13" s="56"/>
      <c r="J13" s="99" t="s">
        <v>386</v>
      </c>
      <c r="K13" s="464" t="s">
        <v>399</v>
      </c>
      <c r="L13" s="46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row>
    <row r="14" spans="1:95" s="155" customFormat="1" ht="26.45" x14ac:dyDescent="0.3">
      <c r="A14" s="80"/>
      <c r="B14" s="77" t="s">
        <v>132</v>
      </c>
      <c r="C14" s="64" t="s">
        <v>22</v>
      </c>
      <c r="D14" s="46"/>
      <c r="E14" s="64" t="s">
        <v>69</v>
      </c>
      <c r="F14" s="47">
        <f>2*1000</f>
        <v>2000</v>
      </c>
      <c r="G14" s="58">
        <f t="shared" si="0"/>
        <v>0</v>
      </c>
      <c r="H14" s="47">
        <f>2.6*1000</f>
        <v>2600</v>
      </c>
      <c r="I14" s="58">
        <f t="shared" si="1"/>
        <v>0</v>
      </c>
      <c r="J14" s="165" t="s">
        <v>182</v>
      </c>
    </row>
    <row r="15" spans="1:95" s="164" customFormat="1" ht="26.45" x14ac:dyDescent="0.3">
      <c r="A15" s="80"/>
      <c r="B15" s="90" t="s">
        <v>133</v>
      </c>
      <c r="C15" s="66" t="s">
        <v>22</v>
      </c>
      <c r="D15" s="49"/>
      <c r="E15" s="66" t="s">
        <v>69</v>
      </c>
      <c r="F15" s="50">
        <f>2.5*1000</f>
        <v>2500</v>
      </c>
      <c r="G15" s="60">
        <f t="shared" si="0"/>
        <v>0</v>
      </c>
      <c r="H15" s="50">
        <f>3.25*1000</f>
        <v>3250</v>
      </c>
      <c r="I15" s="60">
        <f t="shared" si="1"/>
        <v>0</v>
      </c>
      <c r="J15" s="102" t="s">
        <v>183</v>
      </c>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row>
    <row r="16" spans="1:95" s="155" customFormat="1" ht="13.15" x14ac:dyDescent="0.3">
      <c r="A16" s="80"/>
      <c r="B16" s="157" t="s">
        <v>23</v>
      </c>
      <c r="C16" s="5">
        <v>2.5</v>
      </c>
      <c r="D16" s="166"/>
      <c r="E16" s="5"/>
      <c r="F16" s="7"/>
      <c r="G16" s="158"/>
      <c r="H16" s="7"/>
      <c r="I16" s="158"/>
      <c r="J16" s="167"/>
    </row>
    <row r="17" spans="1:95" s="155" customFormat="1" ht="26.45" x14ac:dyDescent="0.3">
      <c r="A17" s="80"/>
      <c r="B17" s="13" t="s">
        <v>135</v>
      </c>
      <c r="C17" s="15" t="s">
        <v>24</v>
      </c>
      <c r="D17" s="80"/>
      <c r="E17" s="15" t="s">
        <v>69</v>
      </c>
      <c r="F17" s="1">
        <f>$F$8/1.6</f>
        <v>464.375</v>
      </c>
      <c r="G17" s="161">
        <f t="shared" si="0"/>
        <v>0</v>
      </c>
      <c r="H17" s="1">
        <f>$H$8/1.6</f>
        <v>603.75</v>
      </c>
      <c r="I17" s="161">
        <f t="shared" si="1"/>
        <v>0</v>
      </c>
      <c r="J17" s="168" t="s">
        <v>420</v>
      </c>
    </row>
    <row r="18" spans="1:95" s="155" customFormat="1" ht="13.15" x14ac:dyDescent="0.3">
      <c r="A18" s="80"/>
      <c r="B18" s="13" t="s">
        <v>134</v>
      </c>
      <c r="C18" s="15" t="s">
        <v>24</v>
      </c>
      <c r="D18" s="80"/>
      <c r="E18" s="15" t="s">
        <v>69</v>
      </c>
      <c r="F18" s="1">
        <f>$F$8/1</f>
        <v>743</v>
      </c>
      <c r="G18" s="161">
        <f t="shared" si="0"/>
        <v>0</v>
      </c>
      <c r="H18" s="1">
        <f>$H$8/1</f>
        <v>966</v>
      </c>
      <c r="I18" s="161">
        <f t="shared" si="1"/>
        <v>0</v>
      </c>
      <c r="J18" s="169" t="s">
        <v>184</v>
      </c>
    </row>
    <row r="19" spans="1:95" s="159" customFormat="1" ht="13.15" x14ac:dyDescent="0.3">
      <c r="A19" s="80"/>
      <c r="B19" s="170" t="s">
        <v>232</v>
      </c>
      <c r="C19" s="61">
        <v>2.6</v>
      </c>
      <c r="D19" s="171"/>
      <c r="E19" s="61"/>
      <c r="F19" s="44"/>
      <c r="G19" s="56"/>
      <c r="H19" s="44"/>
      <c r="I19" s="56"/>
      <c r="J19" s="10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row>
    <row r="20" spans="1:95" s="155" customFormat="1" ht="39.6" x14ac:dyDescent="0.3">
      <c r="A20" s="80"/>
      <c r="B20" s="88" t="s">
        <v>130</v>
      </c>
      <c r="C20" s="64" t="s">
        <v>20</v>
      </c>
      <c r="D20" s="172"/>
      <c r="E20" s="64" t="s">
        <v>60</v>
      </c>
      <c r="F20" s="47">
        <f>$F$8/4</f>
        <v>185.75</v>
      </c>
      <c r="G20" s="58">
        <f t="shared" si="0"/>
        <v>0</v>
      </c>
      <c r="H20" s="47">
        <f>$H$8/4</f>
        <v>241.5</v>
      </c>
      <c r="I20" s="58">
        <f t="shared" si="1"/>
        <v>0</v>
      </c>
      <c r="J20" s="173" t="s">
        <v>426</v>
      </c>
    </row>
    <row r="21" spans="1:95" s="164" customFormat="1" ht="39.6" x14ac:dyDescent="0.3">
      <c r="A21" s="80"/>
      <c r="B21" s="89" t="s">
        <v>127</v>
      </c>
      <c r="C21" s="66" t="s">
        <v>20</v>
      </c>
      <c r="D21" s="52"/>
      <c r="E21" s="66" t="s">
        <v>60</v>
      </c>
      <c r="F21" s="50">
        <f>$F$8/2</f>
        <v>371.5</v>
      </c>
      <c r="G21" s="60">
        <f t="shared" si="0"/>
        <v>0</v>
      </c>
      <c r="H21" s="50">
        <f>$H$8/2</f>
        <v>483</v>
      </c>
      <c r="I21" s="60">
        <f t="shared" si="1"/>
        <v>0</v>
      </c>
      <c r="J21" s="173" t="s">
        <v>427</v>
      </c>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row>
    <row r="22" spans="1:95" s="159" customFormat="1" ht="105.6" x14ac:dyDescent="0.3">
      <c r="A22" s="80"/>
      <c r="B22" s="92" t="s">
        <v>249</v>
      </c>
      <c r="C22" s="61">
        <v>2.7</v>
      </c>
      <c r="D22" s="83"/>
      <c r="E22" s="61"/>
      <c r="F22" s="83"/>
      <c r="G22" s="56"/>
      <c r="H22" s="83"/>
      <c r="I22" s="56"/>
      <c r="J22" s="99" t="s">
        <v>387</v>
      </c>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row>
    <row r="23" spans="1:95" s="155" customFormat="1" ht="25.5" x14ac:dyDescent="0.25">
      <c r="A23" s="2"/>
      <c r="B23" s="91" t="s">
        <v>112</v>
      </c>
      <c r="C23" s="64" t="s">
        <v>107</v>
      </c>
      <c r="D23" s="45"/>
      <c r="E23" s="64" t="s">
        <v>12</v>
      </c>
      <c r="F23" s="47">
        <f>$F$8*1.25</f>
        <v>928.75</v>
      </c>
      <c r="G23" s="58">
        <f t="shared" si="0"/>
        <v>0</v>
      </c>
      <c r="H23" s="47">
        <f>$H$8*1.25</f>
        <v>1207.5</v>
      </c>
      <c r="I23" s="58">
        <f t="shared" si="1"/>
        <v>0</v>
      </c>
      <c r="J23" s="165" t="s">
        <v>374</v>
      </c>
    </row>
    <row r="24" spans="1:95" s="155" customFormat="1" ht="25.5" x14ac:dyDescent="0.25">
      <c r="A24" s="2"/>
      <c r="B24" s="91" t="s">
        <v>141</v>
      </c>
      <c r="C24" s="64" t="s">
        <v>108</v>
      </c>
      <c r="D24" s="45"/>
      <c r="E24" s="64" t="s">
        <v>12</v>
      </c>
      <c r="F24" s="47">
        <f>$F$8*1.5</f>
        <v>1114.5</v>
      </c>
      <c r="G24" s="58">
        <f t="shared" si="0"/>
        <v>0</v>
      </c>
      <c r="H24" s="47">
        <f>$H$8*1.5</f>
        <v>1449</v>
      </c>
      <c r="I24" s="58">
        <f t="shared" si="1"/>
        <v>0</v>
      </c>
      <c r="J24" s="165" t="s">
        <v>375</v>
      </c>
    </row>
    <row r="25" spans="1:95" s="164" customFormat="1" ht="25.5" x14ac:dyDescent="0.25">
      <c r="A25" s="2"/>
      <c r="B25" s="117" t="s">
        <v>142</v>
      </c>
      <c r="C25" s="66" t="s">
        <v>109</v>
      </c>
      <c r="D25" s="48"/>
      <c r="E25" s="66" t="s">
        <v>12</v>
      </c>
      <c r="F25" s="50">
        <v>900</v>
      </c>
      <c r="G25" s="60">
        <f t="shared" si="0"/>
        <v>0</v>
      </c>
      <c r="H25" s="50">
        <v>900</v>
      </c>
      <c r="I25" s="60">
        <f t="shared" si="1"/>
        <v>0</v>
      </c>
      <c r="J25" s="174" t="s">
        <v>376</v>
      </c>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row>
    <row r="26" spans="1:95" s="159" customFormat="1" x14ac:dyDescent="0.25">
      <c r="A26" s="2"/>
      <c r="B26" s="175" t="s">
        <v>353</v>
      </c>
      <c r="C26" s="5">
        <v>2.8</v>
      </c>
      <c r="D26" s="176"/>
      <c r="E26" s="5"/>
      <c r="F26" s="7"/>
      <c r="G26" s="158"/>
      <c r="H26" s="7"/>
      <c r="I26" s="158"/>
      <c r="J26" s="177"/>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row>
    <row r="27" spans="1:95" s="164" customFormat="1" ht="25.5" x14ac:dyDescent="0.25">
      <c r="A27" s="2"/>
      <c r="B27" s="178" t="s">
        <v>261</v>
      </c>
      <c r="C27" s="17">
        <v>1.9</v>
      </c>
      <c r="D27" s="179"/>
      <c r="E27" s="17" t="s">
        <v>12</v>
      </c>
      <c r="F27" s="50">
        <f>$F$8*1.2</f>
        <v>891.6</v>
      </c>
      <c r="G27" s="50">
        <f t="shared" si="0"/>
        <v>0</v>
      </c>
      <c r="H27" s="50">
        <f>$H$8*1.2</f>
        <v>1159.2</v>
      </c>
      <c r="I27" s="60">
        <f t="shared" si="1"/>
        <v>0</v>
      </c>
      <c r="J27" s="102" t="s">
        <v>377</v>
      </c>
    </row>
    <row r="28" spans="1:95" s="155" customFormat="1" ht="39.75" x14ac:dyDescent="0.25">
      <c r="A28" s="9"/>
      <c r="B28" s="180" t="s">
        <v>228</v>
      </c>
      <c r="C28" s="181" t="s">
        <v>251</v>
      </c>
      <c r="D28" s="79"/>
      <c r="E28" s="15"/>
      <c r="F28" s="79"/>
      <c r="G28" s="15"/>
      <c r="H28" s="79"/>
      <c r="I28" s="79"/>
      <c r="J28" s="182" t="s">
        <v>344</v>
      </c>
    </row>
    <row r="29" spans="1:95" s="155" customFormat="1" ht="63.75" x14ac:dyDescent="0.25">
      <c r="A29" s="9"/>
      <c r="B29" s="152"/>
      <c r="C29" s="181"/>
      <c r="D29" s="80"/>
      <c r="E29" s="15"/>
      <c r="F29" s="80"/>
      <c r="G29" s="15"/>
      <c r="H29" s="80"/>
      <c r="I29" s="80"/>
      <c r="J29" s="182" t="s">
        <v>385</v>
      </c>
    </row>
    <row r="30" spans="1:95" s="155" customFormat="1" x14ac:dyDescent="0.25">
      <c r="A30" s="9"/>
      <c r="B30" s="152" t="s">
        <v>80</v>
      </c>
      <c r="C30" s="181" t="s">
        <v>79</v>
      </c>
      <c r="D30" s="80"/>
      <c r="E30" s="15"/>
      <c r="F30" s="80"/>
      <c r="G30" s="15"/>
      <c r="H30" s="80"/>
      <c r="I30" s="80"/>
      <c r="J30" s="183"/>
    </row>
    <row r="31" spans="1:95" s="155" customFormat="1" x14ac:dyDescent="0.25">
      <c r="A31" s="80"/>
      <c r="B31" s="13" t="s">
        <v>135</v>
      </c>
      <c r="C31" s="15"/>
      <c r="D31" s="80"/>
      <c r="E31" s="15"/>
      <c r="F31" s="1"/>
      <c r="G31" s="161"/>
      <c r="H31" s="1"/>
      <c r="I31" s="1"/>
      <c r="J31" s="182"/>
    </row>
    <row r="32" spans="1:95" s="155" customFormat="1" x14ac:dyDescent="0.25">
      <c r="A32" s="80"/>
      <c r="B32" s="13" t="s">
        <v>252</v>
      </c>
      <c r="C32" s="15"/>
      <c r="D32" s="80"/>
      <c r="E32" s="80" t="s">
        <v>119</v>
      </c>
      <c r="F32" s="1">
        <f>$F$8/1.25</f>
        <v>594.4</v>
      </c>
      <c r="G32" s="161">
        <f t="shared" ref="G32:G70" si="2">D32*F32</f>
        <v>0</v>
      </c>
      <c r="H32" s="1">
        <f>$H$8/1.25</f>
        <v>772.8</v>
      </c>
      <c r="I32" s="1">
        <f>D32*H32</f>
        <v>0</v>
      </c>
      <c r="J32" s="182" t="s">
        <v>259</v>
      </c>
    </row>
    <row r="33" spans="1:10" s="155" customFormat="1" x14ac:dyDescent="0.25">
      <c r="A33" s="80"/>
      <c r="B33" s="13" t="s">
        <v>253</v>
      </c>
      <c r="C33" s="15"/>
      <c r="D33" s="80"/>
      <c r="E33" s="80" t="s">
        <v>119</v>
      </c>
      <c r="F33" s="1">
        <f>$F$8/1.5</f>
        <v>495.33333333333331</v>
      </c>
      <c r="G33" s="161">
        <f t="shared" si="2"/>
        <v>0</v>
      </c>
      <c r="H33" s="1">
        <f>$H$8/1.5</f>
        <v>644</v>
      </c>
      <c r="I33" s="1">
        <f t="shared" ref="I33:I34" si="3">D33*H33</f>
        <v>0</v>
      </c>
      <c r="J33" s="182" t="s">
        <v>384</v>
      </c>
    </row>
    <row r="34" spans="1:10" s="155" customFormat="1" x14ac:dyDescent="0.25">
      <c r="A34" s="80"/>
      <c r="B34" s="13" t="s">
        <v>254</v>
      </c>
      <c r="C34" s="15"/>
      <c r="D34" s="80"/>
      <c r="E34" s="80" t="s">
        <v>119</v>
      </c>
      <c r="F34" s="1">
        <f>$F$8/1.75</f>
        <v>424.57142857142856</v>
      </c>
      <c r="G34" s="161">
        <f t="shared" si="2"/>
        <v>0</v>
      </c>
      <c r="H34" s="1">
        <f>$H$8/1.75</f>
        <v>552</v>
      </c>
      <c r="I34" s="1">
        <f t="shared" si="3"/>
        <v>0</v>
      </c>
      <c r="J34" s="182"/>
    </row>
    <row r="35" spans="1:10" s="155" customFormat="1" x14ac:dyDescent="0.25">
      <c r="A35" s="80"/>
      <c r="B35" s="13" t="s">
        <v>255</v>
      </c>
      <c r="C35" s="15"/>
      <c r="D35" s="80"/>
      <c r="E35" s="80"/>
      <c r="F35" s="1"/>
      <c r="G35" s="161"/>
      <c r="H35" s="1"/>
      <c r="I35" s="1"/>
      <c r="J35" s="184"/>
    </row>
    <row r="36" spans="1:10" s="155" customFormat="1" x14ac:dyDescent="0.25">
      <c r="A36" s="80"/>
      <c r="B36" s="13" t="s">
        <v>257</v>
      </c>
      <c r="C36" s="15"/>
      <c r="D36" s="80"/>
      <c r="E36" s="80" t="s">
        <v>119</v>
      </c>
      <c r="F36" s="1">
        <f>$F$8/0.75</f>
        <v>990.66666666666663</v>
      </c>
      <c r="G36" s="161">
        <f t="shared" si="2"/>
        <v>0</v>
      </c>
      <c r="H36" s="1">
        <f>$H$8/0.75</f>
        <v>1288</v>
      </c>
      <c r="I36" s="1">
        <f t="shared" ref="I36:I37" si="4">D36*H36</f>
        <v>0</v>
      </c>
      <c r="J36" s="182" t="s">
        <v>259</v>
      </c>
    </row>
    <row r="37" spans="1:10" s="155" customFormat="1" x14ac:dyDescent="0.25">
      <c r="A37" s="80"/>
      <c r="B37" s="13" t="s">
        <v>258</v>
      </c>
      <c r="C37" s="15"/>
      <c r="D37" s="80"/>
      <c r="E37" s="80" t="s">
        <v>119</v>
      </c>
      <c r="F37" s="1">
        <f>$F$8/1</f>
        <v>743</v>
      </c>
      <c r="G37" s="161">
        <f t="shared" si="2"/>
        <v>0</v>
      </c>
      <c r="H37" s="1">
        <f>$H$8/1</f>
        <v>966</v>
      </c>
      <c r="I37" s="1">
        <f t="shared" si="4"/>
        <v>0</v>
      </c>
      <c r="J37" s="182"/>
    </row>
    <row r="38" spans="1:10" s="155" customFormat="1" x14ac:dyDescent="0.25">
      <c r="A38" s="80"/>
      <c r="B38" s="13" t="s">
        <v>256</v>
      </c>
      <c r="C38" s="15"/>
      <c r="D38" s="80"/>
      <c r="E38" s="80"/>
      <c r="F38" s="1"/>
      <c r="G38" s="161"/>
      <c r="H38" s="1"/>
      <c r="I38" s="1"/>
      <c r="J38" s="184"/>
    </row>
    <row r="39" spans="1:10" s="155" customFormat="1" x14ac:dyDescent="0.25">
      <c r="A39" s="80"/>
      <c r="B39" s="13" t="s">
        <v>252</v>
      </c>
      <c r="C39" s="15"/>
      <c r="D39" s="80"/>
      <c r="E39" s="80" t="s">
        <v>119</v>
      </c>
      <c r="F39" s="1">
        <f>$F$8/1</f>
        <v>743</v>
      </c>
      <c r="G39" s="161">
        <f t="shared" si="2"/>
        <v>0</v>
      </c>
      <c r="H39" s="1">
        <f>$H$8/1</f>
        <v>966</v>
      </c>
      <c r="I39" s="1">
        <f>D39*H39</f>
        <v>0</v>
      </c>
      <c r="J39" s="182" t="s">
        <v>259</v>
      </c>
    </row>
    <row r="40" spans="1:10" s="155" customFormat="1" x14ac:dyDescent="0.25">
      <c r="A40" s="80"/>
      <c r="B40" s="13" t="s">
        <v>253</v>
      </c>
      <c r="C40" s="15"/>
      <c r="D40" s="80"/>
      <c r="E40" s="80" t="s">
        <v>119</v>
      </c>
      <c r="F40" s="1">
        <f>$F$8/1.25</f>
        <v>594.4</v>
      </c>
      <c r="G40" s="161">
        <f t="shared" si="2"/>
        <v>0</v>
      </c>
      <c r="H40" s="1">
        <f>$H$8/1.25</f>
        <v>772.8</v>
      </c>
      <c r="I40" s="1">
        <f t="shared" ref="I40:I41" si="5">D40*H40</f>
        <v>0</v>
      </c>
      <c r="J40" s="182"/>
    </row>
    <row r="41" spans="1:10" s="155" customFormat="1" x14ac:dyDescent="0.25">
      <c r="A41" s="80"/>
      <c r="B41" s="13" t="s">
        <v>254</v>
      </c>
      <c r="C41" s="15"/>
      <c r="D41" s="80"/>
      <c r="E41" s="80" t="s">
        <v>119</v>
      </c>
      <c r="F41" s="1">
        <f>$F$8/1.5</f>
        <v>495.33333333333331</v>
      </c>
      <c r="G41" s="161">
        <f t="shared" si="2"/>
        <v>0</v>
      </c>
      <c r="H41" s="1">
        <f>$H$8/1.5</f>
        <v>644</v>
      </c>
      <c r="I41" s="1">
        <f t="shared" si="5"/>
        <v>0</v>
      </c>
      <c r="J41" s="182"/>
    </row>
    <row r="42" spans="1:10" s="155" customFormat="1" x14ac:dyDescent="0.25">
      <c r="A42" s="80"/>
      <c r="B42" s="152" t="s">
        <v>268</v>
      </c>
      <c r="C42" s="15" t="s">
        <v>81</v>
      </c>
      <c r="D42" s="80"/>
      <c r="E42" s="80"/>
      <c r="F42" s="1"/>
      <c r="G42" s="161"/>
      <c r="H42" s="1"/>
      <c r="I42" s="1"/>
      <c r="J42" s="182"/>
    </row>
    <row r="43" spans="1:10" s="155" customFormat="1" x14ac:dyDescent="0.25">
      <c r="A43" s="80"/>
      <c r="B43" s="13" t="s">
        <v>269</v>
      </c>
      <c r="C43" s="15"/>
      <c r="D43" s="80"/>
      <c r="E43" s="80"/>
      <c r="F43" s="1"/>
      <c r="G43" s="161"/>
      <c r="H43" s="1"/>
      <c r="I43" s="1"/>
      <c r="J43" s="182"/>
    </row>
    <row r="44" spans="1:10" s="155" customFormat="1" x14ac:dyDescent="0.25">
      <c r="A44" s="80"/>
      <c r="B44" s="13" t="s">
        <v>270</v>
      </c>
      <c r="C44" s="15"/>
      <c r="D44" s="80"/>
      <c r="E44" s="2"/>
      <c r="F44" s="1"/>
      <c r="G44" s="161"/>
      <c r="H44" s="1"/>
      <c r="I44" s="1"/>
      <c r="J44" s="182"/>
    </row>
    <row r="45" spans="1:10" s="155" customFormat="1" x14ac:dyDescent="0.25">
      <c r="A45" s="80"/>
      <c r="B45" s="13" t="s">
        <v>299</v>
      </c>
      <c r="C45" s="15"/>
      <c r="D45" s="80"/>
      <c r="E45" s="80" t="s">
        <v>69</v>
      </c>
      <c r="F45" s="1">
        <f>$F$8*5</f>
        <v>3715</v>
      </c>
      <c r="G45" s="161">
        <f t="shared" si="2"/>
        <v>0</v>
      </c>
      <c r="H45" s="1">
        <f>$H$8*5</f>
        <v>4830</v>
      </c>
      <c r="I45" s="1">
        <f>D45*H45</f>
        <v>0</v>
      </c>
      <c r="J45" s="182" t="s">
        <v>277</v>
      </c>
    </row>
    <row r="46" spans="1:10" s="155" customFormat="1" x14ac:dyDescent="0.25">
      <c r="A46" s="80"/>
      <c r="B46" s="13" t="s">
        <v>300</v>
      </c>
      <c r="C46" s="15"/>
      <c r="D46" s="80"/>
      <c r="E46" s="80" t="s">
        <v>69</v>
      </c>
      <c r="F46" s="1">
        <f>$F$8*2.5</f>
        <v>1857.5</v>
      </c>
      <c r="G46" s="161">
        <f t="shared" si="2"/>
        <v>0</v>
      </c>
      <c r="H46" s="1">
        <f>$H$8*2.5</f>
        <v>2415</v>
      </c>
      <c r="I46" s="1">
        <f>D46*H46</f>
        <v>0</v>
      </c>
      <c r="J46" s="182"/>
    </row>
    <row r="47" spans="1:10" s="155" customFormat="1" x14ac:dyDescent="0.25">
      <c r="A47" s="80"/>
      <c r="B47" s="13" t="s">
        <v>273</v>
      </c>
      <c r="C47" s="15"/>
      <c r="D47" s="80"/>
      <c r="E47" s="80"/>
      <c r="F47" s="1"/>
      <c r="G47" s="161"/>
      <c r="H47" s="1"/>
      <c r="I47" s="1"/>
      <c r="J47" s="182"/>
    </row>
    <row r="48" spans="1:10" s="155" customFormat="1" x14ac:dyDescent="0.25">
      <c r="A48" s="80"/>
      <c r="B48" s="13" t="s">
        <v>299</v>
      </c>
      <c r="C48" s="15"/>
      <c r="D48" s="80"/>
      <c r="E48" s="80" t="s">
        <v>69</v>
      </c>
      <c r="F48" s="1">
        <f>$F$8*2.5</f>
        <v>1857.5</v>
      </c>
      <c r="G48" s="161">
        <f t="shared" si="2"/>
        <v>0</v>
      </c>
      <c r="H48" s="1">
        <f>$H$8*2.5</f>
        <v>2415</v>
      </c>
      <c r="I48" s="1">
        <f>D48*H48</f>
        <v>0</v>
      </c>
      <c r="J48" s="182"/>
    </row>
    <row r="49" spans="1:10" s="155" customFormat="1" x14ac:dyDescent="0.25">
      <c r="A49" s="80"/>
      <c r="B49" s="13" t="s">
        <v>300</v>
      </c>
      <c r="C49" s="15"/>
      <c r="D49" s="80"/>
      <c r="E49" s="80" t="s">
        <v>69</v>
      </c>
      <c r="F49" s="1">
        <f>$F$8*1.25</f>
        <v>928.75</v>
      </c>
      <c r="G49" s="161">
        <f t="shared" si="2"/>
        <v>0</v>
      </c>
      <c r="H49" s="1">
        <f>$H$8*1.25</f>
        <v>1207.5</v>
      </c>
      <c r="I49" s="1">
        <f>D49*H49</f>
        <v>0</v>
      </c>
      <c r="J49" s="182"/>
    </row>
    <row r="50" spans="1:10" s="155" customFormat="1" x14ac:dyDescent="0.25">
      <c r="A50" s="80"/>
      <c r="B50" s="13" t="s">
        <v>274</v>
      </c>
      <c r="C50" s="15"/>
      <c r="D50" s="80"/>
      <c r="E50" s="15"/>
      <c r="F50" s="1"/>
      <c r="G50" s="161"/>
      <c r="H50" s="1"/>
      <c r="I50" s="1"/>
      <c r="J50" s="182"/>
    </row>
    <row r="51" spans="1:10" s="155" customFormat="1" x14ac:dyDescent="0.25">
      <c r="A51" s="80"/>
      <c r="B51" s="13" t="s">
        <v>270</v>
      </c>
      <c r="C51" s="15"/>
      <c r="D51" s="80"/>
      <c r="E51" s="15"/>
      <c r="F51" s="1"/>
      <c r="G51" s="161"/>
      <c r="H51" s="1"/>
      <c r="I51" s="1"/>
      <c r="J51" s="182"/>
    </row>
    <row r="52" spans="1:10" s="155" customFormat="1" x14ac:dyDescent="0.25">
      <c r="A52" s="80"/>
      <c r="B52" s="13" t="s">
        <v>299</v>
      </c>
      <c r="C52" s="15"/>
      <c r="D52" s="80"/>
      <c r="E52" s="15" t="s">
        <v>69</v>
      </c>
      <c r="F52" s="1">
        <f>$F$8*6</f>
        <v>4458</v>
      </c>
      <c r="G52" s="161">
        <f t="shared" si="2"/>
        <v>0</v>
      </c>
      <c r="H52" s="1">
        <f>$H$8*6</f>
        <v>5796</v>
      </c>
      <c r="I52" s="1">
        <f>D52*H52</f>
        <v>0</v>
      </c>
      <c r="J52" s="182" t="s">
        <v>277</v>
      </c>
    </row>
    <row r="53" spans="1:10" s="155" customFormat="1" x14ac:dyDescent="0.25">
      <c r="A53" s="80"/>
      <c r="B53" s="13" t="s">
        <v>300</v>
      </c>
      <c r="C53" s="15"/>
      <c r="D53" s="80"/>
      <c r="E53" s="15" t="s">
        <v>69</v>
      </c>
      <c r="F53" s="1">
        <f>$F$8*3</f>
        <v>2229</v>
      </c>
      <c r="G53" s="161">
        <f t="shared" si="2"/>
        <v>0</v>
      </c>
      <c r="H53" s="1">
        <f>$H$8*3</f>
        <v>2898</v>
      </c>
      <c r="I53" s="1">
        <f>D53*H53</f>
        <v>0</v>
      </c>
      <c r="J53" s="182"/>
    </row>
    <row r="54" spans="1:10" s="155" customFormat="1" x14ac:dyDescent="0.25">
      <c r="A54" s="80"/>
      <c r="B54" s="13" t="s">
        <v>273</v>
      </c>
      <c r="C54" s="15"/>
      <c r="D54" s="80"/>
      <c r="E54" s="8"/>
      <c r="F54" s="1"/>
      <c r="G54" s="161"/>
      <c r="H54" s="1"/>
      <c r="I54" s="1"/>
      <c r="J54" s="182"/>
    </row>
    <row r="55" spans="1:10" s="155" customFormat="1" x14ac:dyDescent="0.25">
      <c r="A55" s="80"/>
      <c r="B55" s="13" t="s">
        <v>271</v>
      </c>
      <c r="C55" s="15"/>
      <c r="D55" s="80"/>
      <c r="E55" s="15" t="s">
        <v>69</v>
      </c>
      <c r="F55" s="1">
        <f>$F$8*3</f>
        <v>2229</v>
      </c>
      <c r="G55" s="161">
        <f t="shared" si="2"/>
        <v>0</v>
      </c>
      <c r="H55" s="1">
        <f>$H$8*3</f>
        <v>2898</v>
      </c>
      <c r="I55" s="1">
        <f>D55*H55</f>
        <v>0</v>
      </c>
      <c r="J55" s="182"/>
    </row>
    <row r="56" spans="1:10" s="155" customFormat="1" x14ac:dyDescent="0.25">
      <c r="A56" s="80"/>
      <c r="B56" s="13" t="s">
        <v>272</v>
      </c>
      <c r="C56" s="15"/>
      <c r="D56" s="80"/>
      <c r="E56" s="15" t="s">
        <v>69</v>
      </c>
      <c r="F56" s="1">
        <f>$F$8*1.5</f>
        <v>1114.5</v>
      </c>
      <c r="G56" s="161">
        <f t="shared" si="2"/>
        <v>0</v>
      </c>
      <c r="H56" s="1">
        <f>$H$8*1.5</f>
        <v>1449</v>
      </c>
      <c r="I56" s="1">
        <f>D56*H56</f>
        <v>0</v>
      </c>
      <c r="J56" s="182"/>
    </row>
    <row r="57" spans="1:10" s="155" customFormat="1" x14ac:dyDescent="0.25">
      <c r="A57" s="80"/>
      <c r="B57" s="13" t="s">
        <v>276</v>
      </c>
      <c r="C57" s="15"/>
      <c r="D57" s="80"/>
      <c r="E57" s="8"/>
      <c r="F57" s="1"/>
      <c r="G57" s="161"/>
      <c r="H57" s="1"/>
      <c r="I57" s="1"/>
      <c r="J57" s="182"/>
    </row>
    <row r="58" spans="1:10" s="155" customFormat="1" x14ac:dyDescent="0.25">
      <c r="A58" s="80"/>
      <c r="B58" s="13" t="s">
        <v>270</v>
      </c>
      <c r="C58" s="15"/>
      <c r="D58" s="80"/>
      <c r="E58" s="8"/>
      <c r="F58" s="1"/>
      <c r="G58" s="161"/>
      <c r="H58" s="1"/>
      <c r="I58" s="1"/>
      <c r="J58" s="182"/>
    </row>
    <row r="59" spans="1:10" s="155" customFormat="1" x14ac:dyDescent="0.25">
      <c r="A59" s="80"/>
      <c r="B59" s="13" t="s">
        <v>271</v>
      </c>
      <c r="C59" s="15"/>
      <c r="D59" s="80"/>
      <c r="E59" s="15" t="s">
        <v>69</v>
      </c>
      <c r="F59" s="1">
        <f>$F$8*4</f>
        <v>2972</v>
      </c>
      <c r="G59" s="161">
        <f t="shared" si="2"/>
        <v>0</v>
      </c>
      <c r="H59" s="1">
        <f>$H$8*4</f>
        <v>3864</v>
      </c>
      <c r="I59" s="1">
        <f>D59*H59</f>
        <v>0</v>
      </c>
      <c r="J59" s="182" t="s">
        <v>277</v>
      </c>
    </row>
    <row r="60" spans="1:10" s="155" customFormat="1" x14ac:dyDescent="0.25">
      <c r="A60" s="80"/>
      <c r="B60" s="13" t="s">
        <v>272</v>
      </c>
      <c r="C60" s="15"/>
      <c r="D60" s="80"/>
      <c r="E60" s="15" t="s">
        <v>69</v>
      </c>
      <c r="F60" s="1">
        <f>$F$8*2</f>
        <v>1486</v>
      </c>
      <c r="G60" s="161">
        <f t="shared" si="2"/>
        <v>0</v>
      </c>
      <c r="H60" s="1">
        <f>$H$8*2</f>
        <v>1932</v>
      </c>
      <c r="I60" s="1">
        <f>D60*H60</f>
        <v>0</v>
      </c>
      <c r="J60" s="182"/>
    </row>
    <row r="61" spans="1:10" s="155" customFormat="1" x14ac:dyDescent="0.25">
      <c r="A61" s="80"/>
      <c r="B61" s="13" t="s">
        <v>273</v>
      </c>
      <c r="C61" s="15"/>
      <c r="D61" s="80"/>
      <c r="E61" s="8"/>
      <c r="F61" s="1"/>
      <c r="G61" s="161"/>
      <c r="H61" s="1"/>
      <c r="I61" s="1"/>
      <c r="J61" s="182"/>
    </row>
    <row r="62" spans="1:10" s="155" customFormat="1" x14ac:dyDescent="0.25">
      <c r="A62" s="80"/>
      <c r="B62" s="13" t="s">
        <v>271</v>
      </c>
      <c r="C62" s="15"/>
      <c r="D62" s="80"/>
      <c r="E62" s="15" t="s">
        <v>69</v>
      </c>
      <c r="F62" s="1">
        <f>$F$8*2</f>
        <v>1486</v>
      </c>
      <c r="G62" s="161">
        <f t="shared" si="2"/>
        <v>0</v>
      </c>
      <c r="H62" s="1">
        <f>$H$8*2</f>
        <v>1932</v>
      </c>
      <c r="I62" s="1">
        <f>D62*H62</f>
        <v>0</v>
      </c>
      <c r="J62" s="182"/>
    </row>
    <row r="63" spans="1:10" s="155" customFormat="1" x14ac:dyDescent="0.25">
      <c r="A63" s="80"/>
      <c r="B63" s="13" t="s">
        <v>272</v>
      </c>
      <c r="C63" s="15"/>
      <c r="D63" s="80"/>
      <c r="E63" s="15" t="s">
        <v>69</v>
      </c>
      <c r="F63" s="1">
        <f>$F$8*1</f>
        <v>743</v>
      </c>
      <c r="G63" s="161">
        <f t="shared" si="2"/>
        <v>0</v>
      </c>
      <c r="H63" s="1">
        <f>$H$8*1</f>
        <v>966</v>
      </c>
      <c r="I63" s="1">
        <f>D63*H63</f>
        <v>0</v>
      </c>
      <c r="J63" s="182"/>
    </row>
    <row r="64" spans="1:10" s="155" customFormat="1" x14ac:dyDescent="0.25">
      <c r="A64" s="80"/>
      <c r="B64" s="13" t="s">
        <v>275</v>
      </c>
      <c r="C64" s="15"/>
      <c r="D64" s="80"/>
      <c r="E64" s="15"/>
      <c r="F64" s="1"/>
      <c r="G64" s="161"/>
      <c r="H64" s="1"/>
      <c r="I64" s="1"/>
      <c r="J64" s="182"/>
    </row>
    <row r="65" spans="1:95" s="155" customFormat="1" x14ac:dyDescent="0.25">
      <c r="A65" s="80"/>
      <c r="B65" s="13" t="s">
        <v>270</v>
      </c>
      <c r="C65" s="15"/>
      <c r="D65" s="80"/>
      <c r="E65" s="15"/>
      <c r="F65" s="1"/>
      <c r="G65" s="161"/>
      <c r="H65" s="1"/>
      <c r="I65" s="1"/>
      <c r="J65" s="182"/>
    </row>
    <row r="66" spans="1:95" s="155" customFormat="1" x14ac:dyDescent="0.25">
      <c r="A66" s="80"/>
      <c r="B66" s="13" t="s">
        <v>271</v>
      </c>
      <c r="C66" s="15"/>
      <c r="D66" s="80"/>
      <c r="E66" s="15" t="s">
        <v>69</v>
      </c>
      <c r="F66" s="1">
        <f>$F$8*5.5</f>
        <v>4086.5</v>
      </c>
      <c r="G66" s="161">
        <f t="shared" si="2"/>
        <v>0</v>
      </c>
      <c r="H66" s="1">
        <f>$H$8*5.5</f>
        <v>5313</v>
      </c>
      <c r="I66" s="1">
        <f>D66*H66</f>
        <v>0</v>
      </c>
      <c r="J66" s="182" t="s">
        <v>277</v>
      </c>
    </row>
    <row r="67" spans="1:95" s="155" customFormat="1" x14ac:dyDescent="0.25">
      <c r="A67" s="80"/>
      <c r="B67" s="13" t="s">
        <v>272</v>
      </c>
      <c r="C67" s="15"/>
      <c r="D67" s="80"/>
      <c r="E67" s="15" t="s">
        <v>69</v>
      </c>
      <c r="F67" s="1">
        <f>$F$8*2.75</f>
        <v>2043.25</v>
      </c>
      <c r="G67" s="161">
        <f t="shared" si="2"/>
        <v>0</v>
      </c>
      <c r="H67" s="1">
        <f>$H$8*2.75</f>
        <v>2656.5</v>
      </c>
      <c r="I67" s="1">
        <f>D67*H67</f>
        <v>0</v>
      </c>
      <c r="J67" s="182"/>
    </row>
    <row r="68" spans="1:95" s="155" customFormat="1" x14ac:dyDescent="0.25">
      <c r="A68" s="80"/>
      <c r="B68" s="13" t="s">
        <v>273</v>
      </c>
      <c r="C68" s="15"/>
      <c r="D68" s="80"/>
      <c r="E68" s="15"/>
      <c r="F68" s="1"/>
      <c r="G68" s="161"/>
      <c r="H68" s="1"/>
      <c r="I68" s="1"/>
      <c r="J68" s="182"/>
    </row>
    <row r="69" spans="1:95" s="155" customFormat="1" x14ac:dyDescent="0.25">
      <c r="A69" s="80"/>
      <c r="B69" s="13" t="s">
        <v>271</v>
      </c>
      <c r="C69" s="15"/>
      <c r="D69" s="80"/>
      <c r="E69" s="15" t="s">
        <v>69</v>
      </c>
      <c r="F69" s="1">
        <f>$F$8*2.75</f>
        <v>2043.25</v>
      </c>
      <c r="G69" s="161">
        <f t="shared" si="2"/>
        <v>0</v>
      </c>
      <c r="H69" s="1">
        <f>$H$8*2.75</f>
        <v>2656.5</v>
      </c>
      <c r="I69" s="1">
        <f>D69*H69</f>
        <v>0</v>
      </c>
      <c r="J69" s="182"/>
    </row>
    <row r="70" spans="1:95" s="155" customFormat="1" x14ac:dyDescent="0.25">
      <c r="A70" s="80"/>
      <c r="B70" s="26" t="s">
        <v>272</v>
      </c>
      <c r="C70" s="15"/>
      <c r="D70" s="81"/>
      <c r="E70" s="15" t="s">
        <v>69</v>
      </c>
      <c r="F70" s="10">
        <f>$F$8*1.4</f>
        <v>1040.2</v>
      </c>
      <c r="G70" s="161">
        <f t="shared" si="2"/>
        <v>0</v>
      </c>
      <c r="H70" s="10">
        <f>$H$8*1.4</f>
        <v>1352.3999999999999</v>
      </c>
      <c r="I70" s="10">
        <f>D70*H70</f>
        <v>0</v>
      </c>
      <c r="J70" s="182"/>
    </row>
    <row r="71" spans="1:95" s="155" customFormat="1" ht="25.5" x14ac:dyDescent="0.25">
      <c r="A71" s="9"/>
      <c r="B71" s="180" t="s">
        <v>250</v>
      </c>
      <c r="C71" s="79">
        <v>2.11</v>
      </c>
      <c r="D71" s="79"/>
      <c r="E71" s="79" t="s">
        <v>12</v>
      </c>
      <c r="F71" s="7">
        <f>$F$8</f>
        <v>743</v>
      </c>
      <c r="G71" s="25">
        <f>IF(D71=0,0,IF(D71*$F$8&lt;=2*$F$8,2*$F$8,D71*$F$8))</f>
        <v>0</v>
      </c>
      <c r="H71" s="1">
        <f>$H$8</f>
        <v>966</v>
      </c>
      <c r="I71" s="161">
        <f>IF(D71=0,0,IF(D71*$H$8&lt;=2*$F$8,2*$H$8,D71*$H$8))</f>
        <v>0</v>
      </c>
      <c r="J71" s="118" t="s">
        <v>278</v>
      </c>
    </row>
    <row r="72" spans="1:95" s="186" customFormat="1" ht="25.5" x14ac:dyDescent="0.25">
      <c r="A72" s="80"/>
      <c r="B72" s="157" t="s">
        <v>229</v>
      </c>
      <c r="C72" s="5">
        <v>3.13</v>
      </c>
      <c r="D72" s="79"/>
      <c r="E72" s="5"/>
      <c r="F72" s="7"/>
      <c r="G72" s="158"/>
      <c r="H72" s="7"/>
      <c r="I72" s="158"/>
      <c r="J72" s="177" t="s">
        <v>324</v>
      </c>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c r="AX72" s="185"/>
      <c r="AY72" s="185"/>
      <c r="AZ72" s="185"/>
      <c r="BA72" s="185"/>
      <c r="BB72" s="185"/>
      <c r="BC72" s="185"/>
      <c r="BD72" s="185"/>
      <c r="BE72" s="185"/>
      <c r="BF72" s="185"/>
      <c r="BG72" s="185"/>
      <c r="BH72" s="185"/>
      <c r="BI72" s="185"/>
      <c r="BJ72" s="185"/>
      <c r="BK72" s="185"/>
      <c r="BL72" s="185"/>
      <c r="BM72" s="185"/>
      <c r="BN72" s="185"/>
      <c r="BO72" s="185"/>
      <c r="BP72" s="185"/>
      <c r="BQ72" s="185"/>
      <c r="BR72" s="185"/>
      <c r="BS72" s="185"/>
      <c r="BT72" s="185"/>
      <c r="BU72" s="185"/>
      <c r="BV72" s="185"/>
      <c r="BW72" s="185"/>
      <c r="BX72" s="185"/>
      <c r="BY72" s="185"/>
      <c r="BZ72" s="185"/>
      <c r="CA72" s="185"/>
      <c r="CB72" s="185"/>
      <c r="CC72" s="185"/>
      <c r="CD72" s="185"/>
    </row>
    <row r="73" spans="1:95" s="187" customFormat="1" x14ac:dyDescent="0.25">
      <c r="A73" s="2"/>
      <c r="B73" s="90" t="s">
        <v>230</v>
      </c>
      <c r="C73" s="66">
        <v>1.1299999999999999</v>
      </c>
      <c r="D73" s="52"/>
      <c r="E73" s="66" t="s">
        <v>60</v>
      </c>
      <c r="F73" s="50">
        <v>20</v>
      </c>
      <c r="G73" s="60">
        <f>IF(D73=0,0,IF(D73*F73&lt;400,400,D73*F73))</f>
        <v>0</v>
      </c>
      <c r="H73" s="50">
        <v>20</v>
      </c>
      <c r="I73" s="60">
        <f>IF(D73=0,0,IF(D73*H73&lt;400,400,D73*H73))</f>
        <v>0</v>
      </c>
      <c r="J73" s="154"/>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c r="BW73" s="185"/>
      <c r="BX73" s="185"/>
      <c r="BY73" s="185"/>
      <c r="BZ73" s="185"/>
      <c r="CA73" s="185"/>
      <c r="CB73" s="185"/>
      <c r="CC73" s="185"/>
      <c r="CD73" s="185"/>
    </row>
    <row r="74" spans="1:95" s="185" customFormat="1" x14ac:dyDescent="0.25">
      <c r="A74" s="3"/>
      <c r="B74" s="119" t="s">
        <v>312</v>
      </c>
      <c r="C74" s="188"/>
      <c r="D74" s="22"/>
      <c r="E74" s="22"/>
      <c r="F74" s="16"/>
      <c r="G74" s="25">
        <f>SUM(G8:G73)</f>
        <v>0</v>
      </c>
      <c r="H74" s="25"/>
      <c r="I74" s="25">
        <f>SUM(I8:I73)</f>
        <v>0</v>
      </c>
      <c r="J74" s="120"/>
    </row>
    <row r="75" spans="1:95" s="94" customFormat="1" x14ac:dyDescent="0.25">
      <c r="A75" s="137"/>
      <c r="B75" s="138"/>
      <c r="C75" s="139"/>
      <c r="D75" s="140"/>
      <c r="E75" s="139"/>
      <c r="F75" s="141"/>
      <c r="G75" s="142"/>
      <c r="H75" s="141"/>
      <c r="I75" s="142"/>
      <c r="J75" s="143"/>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c r="AR75" s="189"/>
      <c r="AS75" s="189"/>
      <c r="AT75" s="189"/>
      <c r="AU75" s="189"/>
      <c r="AV75" s="189"/>
      <c r="AW75" s="189"/>
      <c r="AX75" s="189"/>
      <c r="AY75" s="189"/>
      <c r="AZ75" s="189"/>
      <c r="BA75" s="189"/>
      <c r="BB75" s="189"/>
      <c r="BC75" s="189"/>
      <c r="BD75" s="189"/>
      <c r="BE75" s="189"/>
      <c r="BF75" s="189"/>
      <c r="BG75" s="189"/>
      <c r="BH75" s="189"/>
      <c r="BI75" s="189"/>
      <c r="BJ75" s="189"/>
      <c r="BK75" s="189"/>
      <c r="BL75" s="189"/>
      <c r="BM75" s="189"/>
      <c r="BN75" s="189"/>
      <c r="BO75" s="189"/>
      <c r="BP75" s="189"/>
      <c r="BQ75" s="189"/>
      <c r="BR75" s="189"/>
      <c r="BS75" s="189"/>
      <c r="BT75" s="189"/>
      <c r="BU75" s="189"/>
      <c r="BV75" s="189"/>
      <c r="BW75" s="189"/>
      <c r="BX75" s="189"/>
      <c r="BY75" s="189"/>
      <c r="BZ75" s="189"/>
      <c r="CA75" s="189"/>
      <c r="CB75" s="189"/>
      <c r="CC75" s="189"/>
      <c r="CD75" s="189"/>
      <c r="CE75" s="189"/>
      <c r="CF75" s="189"/>
      <c r="CG75" s="189"/>
      <c r="CH75" s="189"/>
      <c r="CI75" s="189"/>
      <c r="CJ75" s="189"/>
      <c r="CK75" s="189"/>
      <c r="CL75" s="189"/>
      <c r="CM75" s="189"/>
      <c r="CN75" s="189"/>
      <c r="CO75" s="189"/>
      <c r="CP75" s="189"/>
      <c r="CQ75" s="189"/>
    </row>
    <row r="76" spans="1:95" s="28" customFormat="1" x14ac:dyDescent="0.25">
      <c r="A76" s="190">
        <v>2</v>
      </c>
      <c r="B76" s="35" t="s">
        <v>27</v>
      </c>
      <c r="C76" s="114"/>
      <c r="D76" s="191"/>
      <c r="E76" s="114"/>
      <c r="F76" s="25"/>
      <c r="G76" s="115"/>
      <c r="H76" s="25"/>
      <c r="I76" s="115"/>
      <c r="J76" s="103"/>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row>
    <row r="77" spans="1:95" s="156" customFormat="1" ht="25.5" x14ac:dyDescent="0.25">
      <c r="A77" s="80"/>
      <c r="B77" s="35" t="s">
        <v>11</v>
      </c>
      <c r="C77" s="114">
        <v>3.1</v>
      </c>
      <c r="D77" s="22"/>
      <c r="E77" s="114" t="s">
        <v>12</v>
      </c>
      <c r="F77" s="1">
        <f>$F$8</f>
        <v>743</v>
      </c>
      <c r="G77" s="115">
        <f>D77*F77</f>
        <v>0</v>
      </c>
      <c r="H77" s="25">
        <f>H8</f>
        <v>966</v>
      </c>
      <c r="I77" s="115">
        <f t="shared" ref="I77:I81" si="6">D77*H77</f>
        <v>0</v>
      </c>
      <c r="J77" s="154" t="s">
        <v>174</v>
      </c>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5"/>
      <c r="CE77" s="155"/>
      <c r="CF77" s="155"/>
      <c r="CG77" s="155"/>
      <c r="CH77" s="155"/>
      <c r="CI77" s="155"/>
      <c r="CJ77" s="155"/>
      <c r="CK77" s="155"/>
      <c r="CL77" s="155"/>
      <c r="CM77" s="155"/>
      <c r="CN77" s="155"/>
      <c r="CO77" s="155"/>
      <c r="CP77" s="155"/>
      <c r="CQ77" s="155"/>
    </row>
    <row r="78" spans="1:95" s="159" customFormat="1" ht="127.5" x14ac:dyDescent="0.25">
      <c r="A78" s="80"/>
      <c r="B78" s="157" t="s">
        <v>13</v>
      </c>
      <c r="C78" s="5">
        <v>3.2</v>
      </c>
      <c r="D78" s="79"/>
      <c r="E78" s="5"/>
      <c r="F78" s="7"/>
      <c r="G78" s="158"/>
      <c r="H78" s="7"/>
      <c r="I78" s="158"/>
      <c r="J78" s="99" t="s">
        <v>345</v>
      </c>
      <c r="K78" s="155"/>
      <c r="L78" s="155"/>
      <c r="M78" s="155"/>
      <c r="N78" s="155"/>
      <c r="O78" s="155"/>
      <c r="P78" s="155"/>
      <c r="Q78" s="155"/>
      <c r="R78" s="155"/>
      <c r="S78" s="155"/>
      <c r="T78" s="155"/>
      <c r="U78" s="155"/>
      <c r="V78" s="155"/>
      <c r="W78" s="155"/>
      <c r="X78" s="155"/>
      <c r="Y78" s="155"/>
      <c r="Z78" s="155"/>
      <c r="AA78" s="155"/>
      <c r="AB78" s="155"/>
      <c r="AC78" s="155"/>
      <c r="AD78" s="155"/>
      <c r="AE78" s="155"/>
      <c r="AF78" s="155"/>
      <c r="AG78" s="155"/>
      <c r="AH78" s="155"/>
      <c r="AI78" s="155"/>
      <c r="AJ78" s="155"/>
      <c r="AK78" s="155"/>
      <c r="AL78" s="155"/>
      <c r="AM78" s="155"/>
      <c r="AN78" s="155"/>
      <c r="AO78" s="155"/>
      <c r="AP78" s="155"/>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5"/>
      <c r="BM78" s="155"/>
      <c r="BN78" s="155"/>
      <c r="BO78" s="155"/>
      <c r="BP78" s="155"/>
      <c r="BQ78" s="155"/>
      <c r="BR78" s="155"/>
      <c r="BS78" s="155"/>
      <c r="BT78" s="155"/>
      <c r="BU78" s="155"/>
      <c r="BV78" s="155"/>
      <c r="BW78" s="155"/>
      <c r="BX78" s="155"/>
      <c r="BY78" s="155"/>
      <c r="BZ78" s="155"/>
      <c r="CA78" s="155"/>
      <c r="CB78" s="155"/>
      <c r="CC78" s="155"/>
      <c r="CD78" s="155"/>
      <c r="CE78" s="155"/>
      <c r="CF78" s="155"/>
      <c r="CG78" s="155"/>
      <c r="CH78" s="155"/>
      <c r="CI78" s="155"/>
      <c r="CJ78" s="155"/>
      <c r="CK78" s="155"/>
      <c r="CL78" s="155"/>
      <c r="CM78" s="155"/>
      <c r="CN78" s="155"/>
      <c r="CO78" s="155"/>
      <c r="CP78" s="155"/>
      <c r="CQ78" s="155"/>
    </row>
    <row r="79" spans="1:95" s="155" customFormat="1" x14ac:dyDescent="0.25">
      <c r="A79" s="80"/>
      <c r="B79" s="160" t="s">
        <v>14</v>
      </c>
      <c r="C79" s="15">
        <v>1.3</v>
      </c>
      <c r="D79" s="80"/>
      <c r="E79" s="15" t="s">
        <v>12</v>
      </c>
      <c r="F79" s="1">
        <f>$F$8</f>
        <v>743</v>
      </c>
      <c r="G79" s="161">
        <f>D79*F79</f>
        <v>0</v>
      </c>
      <c r="H79" s="1">
        <f>$H$8</f>
        <v>966</v>
      </c>
      <c r="I79" s="161">
        <f t="shared" si="6"/>
        <v>0</v>
      </c>
      <c r="J79" s="100"/>
    </row>
    <row r="80" spans="1:95" s="155" customFormat="1" x14ac:dyDescent="0.25">
      <c r="A80" s="80"/>
      <c r="B80" s="160" t="s">
        <v>35</v>
      </c>
      <c r="C80" s="15">
        <v>1.3</v>
      </c>
      <c r="D80" s="80"/>
      <c r="E80" s="15" t="s">
        <v>12</v>
      </c>
      <c r="F80" s="1">
        <f>$F$8*2</f>
        <v>1486</v>
      </c>
      <c r="G80" s="161">
        <f t="shared" ref="G80:G81" si="7">D80*F80</f>
        <v>0</v>
      </c>
      <c r="H80" s="1">
        <f>$H$8*2</f>
        <v>1932</v>
      </c>
      <c r="I80" s="161">
        <f t="shared" si="6"/>
        <v>0</v>
      </c>
      <c r="J80" s="100"/>
    </row>
    <row r="81" spans="1:95" s="164" customFormat="1" x14ac:dyDescent="0.25">
      <c r="A81" s="80"/>
      <c r="B81" s="162" t="s">
        <v>111</v>
      </c>
      <c r="C81" s="17">
        <v>1.3</v>
      </c>
      <c r="D81" s="81"/>
      <c r="E81" s="17" t="s">
        <v>12</v>
      </c>
      <c r="F81" s="10">
        <f>$F$8*3</f>
        <v>2229</v>
      </c>
      <c r="G81" s="163">
        <f t="shared" si="7"/>
        <v>0</v>
      </c>
      <c r="H81" s="10">
        <f>$H$8*3</f>
        <v>2898</v>
      </c>
      <c r="I81" s="163">
        <f t="shared" si="6"/>
        <v>0</v>
      </c>
      <c r="J81" s="101"/>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c r="BX81" s="155"/>
      <c r="BY81" s="155"/>
      <c r="BZ81" s="155"/>
      <c r="CA81" s="155"/>
      <c r="CB81" s="155"/>
      <c r="CC81" s="155"/>
      <c r="CD81" s="155"/>
      <c r="CE81" s="155"/>
      <c r="CF81" s="155"/>
      <c r="CG81" s="155"/>
      <c r="CH81" s="155"/>
      <c r="CI81" s="155"/>
      <c r="CJ81" s="155"/>
      <c r="CK81" s="155"/>
      <c r="CL81" s="155"/>
      <c r="CM81" s="155"/>
      <c r="CN81" s="155"/>
      <c r="CO81" s="155"/>
      <c r="CP81" s="155"/>
      <c r="CQ81" s="155"/>
    </row>
    <row r="82" spans="1:95" s="159" customFormat="1" ht="127.5" customHeight="1" x14ac:dyDescent="0.25">
      <c r="A82" s="80"/>
      <c r="B82" s="170" t="s">
        <v>21</v>
      </c>
      <c r="C82" s="61">
        <v>3.3</v>
      </c>
      <c r="D82" s="53"/>
      <c r="E82" s="63"/>
      <c r="F82" s="54"/>
      <c r="G82" s="56"/>
      <c r="H82" s="54"/>
      <c r="I82" s="56"/>
      <c r="J82" s="99" t="s">
        <v>386</v>
      </c>
      <c r="K82" s="464" t="s">
        <v>399</v>
      </c>
      <c r="L82" s="46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5"/>
      <c r="AX82" s="155"/>
      <c r="AY82" s="155"/>
      <c r="AZ82" s="155"/>
      <c r="BA82" s="155"/>
      <c r="BB82" s="155"/>
      <c r="BC82" s="155"/>
      <c r="BD82" s="155"/>
      <c r="BE82" s="155"/>
      <c r="BF82" s="155"/>
      <c r="BG82" s="155"/>
      <c r="BH82" s="155"/>
      <c r="BI82" s="155"/>
      <c r="BJ82" s="155"/>
      <c r="BK82" s="155"/>
      <c r="BL82" s="155"/>
      <c r="BM82" s="155"/>
      <c r="BN82" s="155"/>
      <c r="BO82" s="155"/>
      <c r="BP82" s="155"/>
      <c r="BQ82" s="155"/>
      <c r="BR82" s="155"/>
      <c r="BS82" s="155"/>
      <c r="BT82" s="155"/>
      <c r="BU82" s="155"/>
      <c r="BV82" s="155"/>
      <c r="BW82" s="155"/>
      <c r="BX82" s="155"/>
      <c r="BY82" s="155"/>
      <c r="BZ82" s="155"/>
      <c r="CA82" s="155"/>
      <c r="CB82" s="155"/>
      <c r="CC82" s="155"/>
      <c r="CD82" s="155"/>
      <c r="CE82" s="155"/>
      <c r="CF82" s="155"/>
      <c r="CG82" s="155"/>
      <c r="CH82" s="155"/>
      <c r="CI82" s="155"/>
      <c r="CJ82" s="155"/>
      <c r="CK82" s="155"/>
      <c r="CL82" s="155"/>
      <c r="CM82" s="155"/>
      <c r="CN82" s="155"/>
      <c r="CO82" s="155"/>
      <c r="CP82" s="155"/>
      <c r="CQ82" s="155"/>
    </row>
    <row r="83" spans="1:95" s="155" customFormat="1" ht="25.5" x14ac:dyDescent="0.25">
      <c r="A83" s="80"/>
      <c r="B83" s="77" t="s">
        <v>132</v>
      </c>
      <c r="C83" s="64" t="s">
        <v>22</v>
      </c>
      <c r="D83" s="46"/>
      <c r="E83" s="64" t="s">
        <v>69</v>
      </c>
      <c r="F83" s="47">
        <f>2*1000</f>
        <v>2000</v>
      </c>
      <c r="G83" s="58">
        <f>D83*F83</f>
        <v>0</v>
      </c>
      <c r="H83" s="47">
        <f>2.6*1000</f>
        <v>2600</v>
      </c>
      <c r="I83" s="58">
        <f>D83*H83</f>
        <v>0</v>
      </c>
      <c r="J83" s="165" t="s">
        <v>182</v>
      </c>
    </row>
    <row r="84" spans="1:95" s="164" customFormat="1" ht="25.5" x14ac:dyDescent="0.25">
      <c r="A84" s="80"/>
      <c r="B84" s="90" t="s">
        <v>133</v>
      </c>
      <c r="C84" s="66" t="s">
        <v>22</v>
      </c>
      <c r="D84" s="49"/>
      <c r="E84" s="66" t="s">
        <v>69</v>
      </c>
      <c r="F84" s="50">
        <f>2.5*1000</f>
        <v>2500</v>
      </c>
      <c r="G84" s="60">
        <f>D84*F84</f>
        <v>0</v>
      </c>
      <c r="H84" s="50">
        <f>3.25*1000</f>
        <v>3250</v>
      </c>
      <c r="I84" s="60">
        <f>D84*H84</f>
        <v>0</v>
      </c>
      <c r="J84" s="102" t="s">
        <v>183</v>
      </c>
      <c r="K84" s="155"/>
      <c r="L84" s="155"/>
      <c r="M84" s="155"/>
      <c r="N84" s="155"/>
      <c r="O84" s="155"/>
      <c r="P84" s="155"/>
      <c r="Q84" s="155"/>
      <c r="R84" s="155"/>
      <c r="S84" s="155"/>
      <c r="T84" s="155"/>
      <c r="U84" s="155"/>
      <c r="V84" s="155"/>
      <c r="W84" s="155"/>
      <c r="X84" s="155"/>
      <c r="Y84" s="155"/>
      <c r="Z84" s="155"/>
      <c r="AA84" s="155"/>
      <c r="AB84" s="155"/>
      <c r="AC84" s="155"/>
      <c r="AD84" s="155"/>
      <c r="AE84" s="155"/>
      <c r="AF84" s="155"/>
      <c r="AG84" s="155"/>
      <c r="AH84" s="155"/>
      <c r="AI84" s="155"/>
      <c r="AJ84" s="155"/>
      <c r="AK84" s="155"/>
      <c r="AL84" s="155"/>
      <c r="AM84" s="155"/>
      <c r="AN84" s="155"/>
      <c r="AO84" s="155"/>
      <c r="AP84" s="155"/>
      <c r="AQ84" s="155"/>
      <c r="AR84" s="155"/>
      <c r="AS84" s="155"/>
      <c r="AT84" s="155"/>
      <c r="AU84" s="155"/>
      <c r="AV84" s="155"/>
      <c r="AW84" s="155"/>
      <c r="AX84" s="155"/>
      <c r="AY84" s="155"/>
      <c r="AZ84" s="155"/>
      <c r="BA84" s="155"/>
      <c r="BB84" s="155"/>
      <c r="BC84" s="155"/>
      <c r="BD84" s="155"/>
      <c r="BE84" s="155"/>
      <c r="BF84" s="155"/>
      <c r="BG84" s="155"/>
      <c r="BH84" s="155"/>
      <c r="BI84" s="155"/>
      <c r="BJ84" s="155"/>
      <c r="BK84" s="155"/>
      <c r="BL84" s="155"/>
      <c r="BM84" s="155"/>
      <c r="BN84" s="155"/>
      <c r="BO84" s="155"/>
      <c r="BP84" s="155"/>
      <c r="BQ84" s="155"/>
      <c r="BR84" s="155"/>
      <c r="BS84" s="155"/>
      <c r="BT84" s="155"/>
      <c r="BU84" s="155"/>
      <c r="BV84" s="155"/>
      <c r="BW84" s="155"/>
      <c r="BX84" s="155"/>
      <c r="BY84" s="155"/>
      <c r="BZ84" s="155"/>
      <c r="CA84" s="155"/>
      <c r="CB84" s="155"/>
      <c r="CC84" s="155"/>
      <c r="CD84" s="155"/>
      <c r="CE84" s="155"/>
      <c r="CF84" s="155"/>
      <c r="CG84" s="155"/>
      <c r="CH84" s="155"/>
      <c r="CI84" s="155"/>
      <c r="CJ84" s="155"/>
      <c r="CK84" s="155"/>
      <c r="CL84" s="155"/>
      <c r="CM84" s="155"/>
      <c r="CN84" s="155"/>
      <c r="CO84" s="155"/>
      <c r="CP84" s="155"/>
      <c r="CQ84" s="155"/>
    </row>
    <row r="85" spans="1:95" s="155" customFormat="1" x14ac:dyDescent="0.25">
      <c r="A85" s="80"/>
      <c r="B85" s="157" t="s">
        <v>23</v>
      </c>
      <c r="C85" s="5">
        <v>3.4</v>
      </c>
      <c r="D85" s="166"/>
      <c r="E85" s="5"/>
      <c r="F85" s="7"/>
      <c r="G85" s="158"/>
      <c r="H85" s="7"/>
      <c r="I85" s="158"/>
      <c r="J85" s="167"/>
    </row>
    <row r="86" spans="1:95" s="155" customFormat="1" ht="25.5" x14ac:dyDescent="0.25">
      <c r="A86" s="80"/>
      <c r="B86" s="13" t="s">
        <v>135</v>
      </c>
      <c r="C86" s="15" t="s">
        <v>24</v>
      </c>
      <c r="D86" s="80"/>
      <c r="E86" s="15" t="s">
        <v>69</v>
      </c>
      <c r="F86" s="1">
        <f>$F$8/1.6</f>
        <v>464.375</v>
      </c>
      <c r="G86" s="161">
        <f>D86*F86</f>
        <v>0</v>
      </c>
      <c r="H86" s="1">
        <f>$H$8/1.6</f>
        <v>603.75</v>
      </c>
      <c r="I86" s="161">
        <f>D86*H86</f>
        <v>0</v>
      </c>
      <c r="J86" s="168" t="s">
        <v>421</v>
      </c>
    </row>
    <row r="87" spans="1:95" s="155" customFormat="1" x14ac:dyDescent="0.25">
      <c r="A87" s="80"/>
      <c r="B87" s="13" t="s">
        <v>134</v>
      </c>
      <c r="C87" s="15" t="s">
        <v>24</v>
      </c>
      <c r="D87" s="80"/>
      <c r="E87" s="15" t="s">
        <v>69</v>
      </c>
      <c r="F87" s="1">
        <f>$F$8/1</f>
        <v>743</v>
      </c>
      <c r="G87" s="161">
        <f>D87*F87</f>
        <v>0</v>
      </c>
      <c r="H87" s="1">
        <f>$H$8/1</f>
        <v>966</v>
      </c>
      <c r="I87" s="161">
        <f>D87*H87</f>
        <v>0</v>
      </c>
      <c r="J87" s="169" t="s">
        <v>184</v>
      </c>
    </row>
    <row r="88" spans="1:95" s="159" customFormat="1" x14ac:dyDescent="0.25">
      <c r="A88" s="80"/>
      <c r="B88" s="170" t="s">
        <v>232</v>
      </c>
      <c r="C88" s="61">
        <v>3.5</v>
      </c>
      <c r="D88" s="171"/>
      <c r="E88" s="61"/>
      <c r="F88" s="44"/>
      <c r="G88" s="56"/>
      <c r="H88" s="44"/>
      <c r="I88" s="56"/>
      <c r="J88" s="105"/>
      <c r="K88" s="155"/>
      <c r="L88" s="155"/>
      <c r="M88" s="155"/>
      <c r="N88" s="155"/>
      <c r="O88" s="155"/>
      <c r="P88" s="155"/>
      <c r="Q88" s="155"/>
      <c r="R88" s="155"/>
      <c r="S88" s="155"/>
      <c r="T88" s="155"/>
      <c r="U88" s="155"/>
      <c r="V88" s="155"/>
      <c r="W88" s="155"/>
      <c r="X88" s="155"/>
      <c r="Y88" s="155"/>
      <c r="Z88" s="155"/>
      <c r="AA88" s="155"/>
      <c r="AB88" s="155"/>
      <c r="AC88" s="155"/>
      <c r="AD88" s="155"/>
      <c r="AE88" s="155"/>
      <c r="AF88" s="155"/>
      <c r="AG88" s="155"/>
      <c r="AH88" s="155"/>
      <c r="AI88" s="155"/>
      <c r="AJ88" s="155"/>
      <c r="AK88" s="155"/>
      <c r="AL88" s="155"/>
      <c r="AM88" s="155"/>
      <c r="AN88" s="155"/>
      <c r="AO88" s="155"/>
      <c r="AP88" s="155"/>
      <c r="AQ88" s="155"/>
      <c r="AR88" s="155"/>
      <c r="AS88" s="155"/>
      <c r="AT88" s="155"/>
      <c r="AU88" s="155"/>
      <c r="AV88" s="155"/>
      <c r="AW88" s="155"/>
      <c r="AX88" s="155"/>
      <c r="AY88" s="155"/>
      <c r="AZ88" s="155"/>
      <c r="BA88" s="155"/>
      <c r="BB88" s="155"/>
      <c r="BC88" s="155"/>
      <c r="BD88" s="155"/>
      <c r="BE88" s="155"/>
      <c r="BF88" s="155"/>
      <c r="BG88" s="155"/>
      <c r="BH88" s="155"/>
      <c r="BI88" s="155"/>
      <c r="BJ88" s="155"/>
      <c r="BK88" s="155"/>
      <c r="BL88" s="155"/>
      <c r="BM88" s="155"/>
      <c r="BN88" s="155"/>
      <c r="BO88" s="155"/>
      <c r="BP88" s="155"/>
      <c r="BQ88" s="155"/>
      <c r="BR88" s="155"/>
      <c r="BS88" s="155"/>
      <c r="BT88" s="155"/>
      <c r="BU88" s="155"/>
      <c r="BV88" s="155"/>
      <c r="BW88" s="155"/>
      <c r="BX88" s="155"/>
      <c r="BY88" s="155"/>
      <c r="BZ88" s="155"/>
      <c r="CA88" s="155"/>
      <c r="CB88" s="155"/>
      <c r="CC88" s="155"/>
      <c r="CD88" s="155"/>
      <c r="CE88" s="155"/>
      <c r="CF88" s="155"/>
      <c r="CG88" s="155"/>
      <c r="CH88" s="155"/>
      <c r="CI88" s="155"/>
      <c r="CJ88" s="155"/>
      <c r="CK88" s="155"/>
      <c r="CL88" s="155"/>
      <c r="CM88" s="155"/>
      <c r="CN88" s="155"/>
      <c r="CO88" s="155"/>
      <c r="CP88" s="155"/>
      <c r="CQ88" s="155"/>
    </row>
    <row r="89" spans="1:95" s="155" customFormat="1" ht="38.25" x14ac:dyDescent="0.25">
      <c r="A89" s="80"/>
      <c r="B89" s="88" t="s">
        <v>130</v>
      </c>
      <c r="C89" s="64" t="s">
        <v>20</v>
      </c>
      <c r="D89" s="172"/>
      <c r="E89" s="64" t="s">
        <v>60</v>
      </c>
      <c r="F89" s="47">
        <f>$F$8/4</f>
        <v>185.75</v>
      </c>
      <c r="G89" s="58">
        <f t="shared" ref="G89:G90" si="8">D89*F89</f>
        <v>0</v>
      </c>
      <c r="H89" s="47">
        <f>$H$8/4</f>
        <v>241.5</v>
      </c>
      <c r="I89" s="58">
        <f t="shared" ref="I89:I90" si="9">D89*H89</f>
        <v>0</v>
      </c>
      <c r="J89" s="173" t="s">
        <v>426</v>
      </c>
    </row>
    <row r="90" spans="1:95" s="164" customFormat="1" ht="38.25" x14ac:dyDescent="0.25">
      <c r="A90" s="80"/>
      <c r="B90" s="89" t="s">
        <v>127</v>
      </c>
      <c r="C90" s="66" t="s">
        <v>20</v>
      </c>
      <c r="D90" s="52"/>
      <c r="E90" s="66" t="s">
        <v>60</v>
      </c>
      <c r="F90" s="50">
        <f>$F$8/2</f>
        <v>371.5</v>
      </c>
      <c r="G90" s="60">
        <f t="shared" si="8"/>
        <v>0</v>
      </c>
      <c r="H90" s="50">
        <f>$H$8/2</f>
        <v>483</v>
      </c>
      <c r="I90" s="60">
        <f t="shared" si="9"/>
        <v>0</v>
      </c>
      <c r="J90" s="173" t="s">
        <v>427</v>
      </c>
      <c r="K90" s="155"/>
      <c r="L90" s="155"/>
      <c r="M90" s="155"/>
      <c r="N90" s="155"/>
      <c r="O90" s="155"/>
      <c r="P90" s="155"/>
      <c r="Q90" s="155"/>
      <c r="R90" s="155"/>
      <c r="S90" s="155"/>
      <c r="T90" s="155"/>
      <c r="U90" s="155"/>
      <c r="V90" s="155"/>
      <c r="W90" s="155"/>
      <c r="X90" s="155"/>
      <c r="Y90" s="155"/>
      <c r="Z90" s="155"/>
      <c r="AA90" s="155"/>
      <c r="AB90" s="155"/>
      <c r="AC90" s="155"/>
      <c r="AD90" s="155"/>
      <c r="AE90" s="155"/>
      <c r="AF90" s="155"/>
      <c r="AG90" s="155"/>
      <c r="AH90" s="155"/>
      <c r="AI90" s="155"/>
      <c r="AJ90" s="155"/>
      <c r="AK90" s="155"/>
      <c r="AL90" s="155"/>
      <c r="AM90" s="155"/>
      <c r="AN90" s="155"/>
      <c r="AO90" s="155"/>
      <c r="AP90" s="155"/>
      <c r="AQ90" s="155"/>
      <c r="AR90" s="155"/>
      <c r="AS90" s="155"/>
      <c r="AT90" s="155"/>
      <c r="AU90" s="155"/>
      <c r="AV90" s="155"/>
      <c r="AW90" s="155"/>
      <c r="AX90" s="155"/>
      <c r="AY90" s="155"/>
      <c r="AZ90" s="155"/>
      <c r="BA90" s="155"/>
      <c r="BB90" s="155"/>
      <c r="BC90" s="155"/>
      <c r="BD90" s="155"/>
      <c r="BE90" s="155"/>
      <c r="BF90" s="155"/>
      <c r="BG90" s="155"/>
      <c r="BH90" s="155"/>
      <c r="BI90" s="155"/>
      <c r="BJ90" s="155"/>
      <c r="BK90" s="155"/>
      <c r="BL90" s="155"/>
      <c r="BM90" s="155"/>
      <c r="BN90" s="155"/>
      <c r="BO90" s="155"/>
      <c r="BP90" s="155"/>
      <c r="BQ90" s="155"/>
      <c r="BR90" s="155"/>
      <c r="BS90" s="155"/>
      <c r="BT90" s="155"/>
      <c r="BU90" s="155"/>
      <c r="BV90" s="155"/>
      <c r="BW90" s="155"/>
      <c r="BX90" s="155"/>
      <c r="BY90" s="155"/>
      <c r="BZ90" s="155"/>
      <c r="CA90" s="155"/>
      <c r="CB90" s="155"/>
      <c r="CC90" s="155"/>
      <c r="CD90" s="155"/>
      <c r="CE90" s="155"/>
      <c r="CF90" s="155"/>
      <c r="CG90" s="155"/>
      <c r="CH90" s="155"/>
      <c r="CI90" s="155"/>
      <c r="CJ90" s="155"/>
      <c r="CK90" s="155"/>
      <c r="CL90" s="155"/>
      <c r="CM90" s="155"/>
      <c r="CN90" s="155"/>
      <c r="CO90" s="155"/>
      <c r="CP90" s="155"/>
      <c r="CQ90" s="155"/>
    </row>
    <row r="91" spans="1:95" s="159" customFormat="1" ht="102" x14ac:dyDescent="0.25">
      <c r="A91" s="80"/>
      <c r="B91" s="92" t="s">
        <v>249</v>
      </c>
      <c r="C91" s="61">
        <v>3.6</v>
      </c>
      <c r="D91" s="83"/>
      <c r="E91" s="61"/>
      <c r="F91" s="83"/>
      <c r="G91" s="56"/>
      <c r="H91" s="83"/>
      <c r="I91" s="56"/>
      <c r="J91" s="99" t="s">
        <v>387</v>
      </c>
      <c r="K91" s="155"/>
      <c r="L91" s="155"/>
      <c r="M91" s="155"/>
      <c r="N91" s="155"/>
      <c r="O91" s="155"/>
      <c r="P91" s="155"/>
      <c r="Q91" s="155"/>
      <c r="R91" s="155"/>
      <c r="S91" s="155"/>
      <c r="T91" s="155"/>
      <c r="U91" s="155"/>
      <c r="V91" s="155"/>
      <c r="W91" s="155"/>
      <c r="X91" s="155"/>
      <c r="Y91" s="155"/>
      <c r="Z91" s="155"/>
      <c r="AA91" s="155"/>
      <c r="AB91" s="155"/>
      <c r="AC91" s="155"/>
      <c r="AD91" s="155"/>
      <c r="AE91" s="155"/>
      <c r="AF91" s="155"/>
      <c r="AG91" s="155"/>
      <c r="AH91" s="155"/>
      <c r="AI91" s="155"/>
      <c r="AJ91" s="155"/>
      <c r="AK91" s="155"/>
      <c r="AL91" s="155"/>
      <c r="AM91" s="155"/>
      <c r="AN91" s="155"/>
      <c r="AO91" s="155"/>
      <c r="AP91" s="155"/>
      <c r="AQ91" s="155"/>
      <c r="AR91" s="155"/>
      <c r="AS91" s="155"/>
      <c r="AT91" s="155"/>
      <c r="AU91" s="155"/>
      <c r="AV91" s="155"/>
      <c r="AW91" s="155"/>
      <c r="AX91" s="155"/>
      <c r="AY91" s="155"/>
      <c r="AZ91" s="155"/>
      <c r="BA91" s="155"/>
      <c r="BB91" s="155"/>
      <c r="BC91" s="155"/>
      <c r="BD91" s="155"/>
      <c r="BE91" s="155"/>
      <c r="BF91" s="155"/>
      <c r="BG91" s="155"/>
      <c r="BH91" s="155"/>
      <c r="BI91" s="155"/>
      <c r="BJ91" s="155"/>
      <c r="BK91" s="155"/>
      <c r="BL91" s="155"/>
      <c r="BM91" s="155"/>
      <c r="BN91" s="155"/>
      <c r="BO91" s="155"/>
      <c r="BP91" s="155"/>
      <c r="BQ91" s="155"/>
      <c r="BR91" s="155"/>
      <c r="BS91" s="155"/>
      <c r="BT91" s="155"/>
      <c r="BU91" s="155"/>
      <c r="BV91" s="155"/>
      <c r="BW91" s="155"/>
      <c r="BX91" s="155"/>
      <c r="BY91" s="155"/>
      <c r="BZ91" s="155"/>
      <c r="CA91" s="155"/>
      <c r="CB91" s="155"/>
      <c r="CC91" s="155"/>
      <c r="CD91" s="155"/>
      <c r="CE91" s="155"/>
      <c r="CF91" s="155"/>
      <c r="CG91" s="155"/>
      <c r="CH91" s="155"/>
      <c r="CI91" s="155"/>
      <c r="CJ91" s="155"/>
      <c r="CK91" s="155"/>
      <c r="CL91" s="155"/>
      <c r="CM91" s="155"/>
      <c r="CN91" s="155"/>
      <c r="CO91" s="155"/>
      <c r="CP91" s="155"/>
      <c r="CQ91" s="155"/>
    </row>
    <row r="92" spans="1:95" s="155" customFormat="1" ht="25.5" x14ac:dyDescent="0.25">
      <c r="A92" s="2"/>
      <c r="B92" s="91" t="s">
        <v>112</v>
      </c>
      <c r="C92" s="64" t="s">
        <v>107</v>
      </c>
      <c r="D92" s="45"/>
      <c r="E92" s="64" t="s">
        <v>12</v>
      </c>
      <c r="F92" s="47">
        <f>$F$8*1.25</f>
        <v>928.75</v>
      </c>
      <c r="G92" s="58">
        <f>D92*F92</f>
        <v>0</v>
      </c>
      <c r="H92" s="47">
        <f>$H$8*1.25</f>
        <v>1207.5</v>
      </c>
      <c r="I92" s="58">
        <f>D92*H92</f>
        <v>0</v>
      </c>
      <c r="J92" s="165" t="s">
        <v>374</v>
      </c>
    </row>
    <row r="93" spans="1:95" s="155" customFormat="1" ht="25.5" x14ac:dyDescent="0.25">
      <c r="A93" s="2"/>
      <c r="B93" s="91" t="s">
        <v>141</v>
      </c>
      <c r="C93" s="64" t="s">
        <v>108</v>
      </c>
      <c r="D93" s="45"/>
      <c r="E93" s="64" t="s">
        <v>12</v>
      </c>
      <c r="F93" s="47">
        <f>$F$8*1.5</f>
        <v>1114.5</v>
      </c>
      <c r="G93" s="58">
        <f t="shared" ref="G93:G94" si="10">D93*F93</f>
        <v>0</v>
      </c>
      <c r="H93" s="47">
        <f>$H$8*1.5</f>
        <v>1449</v>
      </c>
      <c r="I93" s="58">
        <f>D93*H93</f>
        <v>0</v>
      </c>
      <c r="J93" s="165" t="s">
        <v>375</v>
      </c>
    </row>
    <row r="94" spans="1:95" s="164" customFormat="1" ht="25.5" x14ac:dyDescent="0.25">
      <c r="A94" s="2"/>
      <c r="B94" s="117" t="s">
        <v>142</v>
      </c>
      <c r="C94" s="66" t="s">
        <v>109</v>
      </c>
      <c r="D94" s="48"/>
      <c r="E94" s="66" t="s">
        <v>12</v>
      </c>
      <c r="F94" s="50">
        <v>900</v>
      </c>
      <c r="G94" s="60">
        <f t="shared" si="10"/>
        <v>0</v>
      </c>
      <c r="H94" s="50">
        <v>900</v>
      </c>
      <c r="I94" s="60">
        <f t="shared" ref="I94" si="11">D94*H94</f>
        <v>0</v>
      </c>
      <c r="J94" s="174" t="s">
        <v>376</v>
      </c>
      <c r="K94" s="155"/>
      <c r="L94" s="155"/>
      <c r="M94" s="155"/>
      <c r="N94" s="155"/>
      <c r="O94" s="155"/>
      <c r="P94" s="155"/>
      <c r="Q94" s="155"/>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5"/>
      <c r="BN94" s="155"/>
      <c r="BO94" s="155"/>
      <c r="BP94" s="155"/>
      <c r="BQ94" s="155"/>
      <c r="BR94" s="155"/>
      <c r="BS94" s="155"/>
      <c r="BT94" s="155"/>
      <c r="BU94" s="155"/>
      <c r="BV94" s="155"/>
      <c r="BW94" s="155"/>
      <c r="BX94" s="155"/>
      <c r="BY94" s="155"/>
      <c r="BZ94" s="155"/>
      <c r="CA94" s="155"/>
      <c r="CB94" s="155"/>
      <c r="CC94" s="155"/>
      <c r="CD94" s="155"/>
      <c r="CE94" s="155"/>
      <c r="CF94" s="155"/>
      <c r="CG94" s="155"/>
      <c r="CH94" s="155"/>
      <c r="CI94" s="155"/>
      <c r="CJ94" s="155"/>
      <c r="CK94" s="155"/>
      <c r="CL94" s="155"/>
      <c r="CM94" s="155"/>
      <c r="CN94" s="155"/>
      <c r="CO94" s="155"/>
      <c r="CP94" s="155"/>
      <c r="CQ94" s="155"/>
    </row>
    <row r="95" spans="1:95" s="159" customFormat="1" x14ac:dyDescent="0.25">
      <c r="A95" s="2"/>
      <c r="B95" s="175" t="s">
        <v>353</v>
      </c>
      <c r="C95" s="5">
        <v>3.7</v>
      </c>
      <c r="D95" s="176"/>
      <c r="E95" s="5"/>
      <c r="F95" s="7"/>
      <c r="G95" s="158"/>
      <c r="H95" s="7"/>
      <c r="I95" s="158"/>
      <c r="J95" s="177"/>
      <c r="K95" s="155"/>
      <c r="L95" s="155"/>
      <c r="M95" s="155"/>
      <c r="N95" s="155"/>
      <c r="O95" s="155"/>
      <c r="P95" s="155"/>
      <c r="Q95" s="155"/>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c r="BP95" s="155"/>
      <c r="BQ95" s="155"/>
      <c r="BR95" s="155"/>
      <c r="BS95" s="155"/>
      <c r="BT95" s="155"/>
      <c r="BU95" s="155"/>
      <c r="BV95" s="155"/>
      <c r="BW95" s="155"/>
      <c r="BX95" s="155"/>
      <c r="BY95" s="155"/>
      <c r="BZ95" s="155"/>
      <c r="CA95" s="155"/>
      <c r="CB95" s="155"/>
      <c r="CC95" s="155"/>
      <c r="CD95" s="155"/>
      <c r="CE95" s="155"/>
      <c r="CF95" s="155"/>
      <c r="CG95" s="155"/>
      <c r="CH95" s="155"/>
      <c r="CI95" s="155"/>
      <c r="CJ95" s="155"/>
      <c r="CK95" s="155"/>
      <c r="CL95" s="155"/>
      <c r="CM95" s="155"/>
      <c r="CN95" s="155"/>
      <c r="CO95" s="155"/>
      <c r="CP95" s="155"/>
      <c r="CQ95" s="155"/>
    </row>
    <row r="96" spans="1:95" s="164" customFormat="1" ht="25.5" x14ac:dyDescent="0.25">
      <c r="A96" s="2"/>
      <c r="B96" s="178" t="s">
        <v>261</v>
      </c>
      <c r="C96" s="17">
        <v>1.9</v>
      </c>
      <c r="D96" s="179"/>
      <c r="E96" s="192" t="s">
        <v>12</v>
      </c>
      <c r="F96" s="10">
        <f>$F$8*1.2</f>
        <v>891.6</v>
      </c>
      <c r="G96" s="10">
        <f>D96*F96</f>
        <v>0</v>
      </c>
      <c r="H96" s="10">
        <f>$H$8*1.2</f>
        <v>1159.2</v>
      </c>
      <c r="I96" s="10">
        <f>D96*H96</f>
        <v>0</v>
      </c>
      <c r="J96" s="154" t="s">
        <v>377</v>
      </c>
      <c r="K96" s="155"/>
      <c r="L96" s="155"/>
      <c r="M96" s="155"/>
      <c r="N96" s="155"/>
      <c r="O96" s="155"/>
      <c r="P96" s="155"/>
      <c r="Q96" s="155"/>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155"/>
      <c r="CH96" s="155"/>
      <c r="CI96" s="155"/>
      <c r="CJ96" s="155"/>
      <c r="CK96" s="155"/>
      <c r="CL96" s="155"/>
      <c r="CM96" s="155"/>
      <c r="CN96" s="155"/>
      <c r="CO96" s="155"/>
      <c r="CP96" s="155"/>
      <c r="CQ96" s="155"/>
    </row>
    <row r="97" spans="1:95" s="159" customFormat="1" ht="25.5" x14ac:dyDescent="0.25">
      <c r="A97" s="9"/>
      <c r="B97" s="180" t="s">
        <v>233</v>
      </c>
      <c r="C97" s="5">
        <v>3.9</v>
      </c>
      <c r="D97" s="79"/>
      <c r="E97" s="5" t="s">
        <v>119</v>
      </c>
      <c r="F97" s="130">
        <f>$F$8*5.5</f>
        <v>4086.5</v>
      </c>
      <c r="G97" s="50">
        <f>D97*F97</f>
        <v>0</v>
      </c>
      <c r="H97" s="130">
        <f>$H$8*5.5</f>
        <v>5313</v>
      </c>
      <c r="I97" s="161">
        <f>D97*H97</f>
        <v>0</v>
      </c>
      <c r="J97" s="118" t="s">
        <v>327</v>
      </c>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5"/>
      <c r="BN97" s="155"/>
      <c r="BO97" s="155"/>
      <c r="BP97" s="155"/>
      <c r="BQ97" s="155"/>
      <c r="BR97" s="155"/>
      <c r="BS97" s="155"/>
      <c r="BT97" s="155"/>
      <c r="BU97" s="155"/>
      <c r="BV97" s="155"/>
      <c r="BW97" s="155"/>
      <c r="BX97" s="155"/>
      <c r="BY97" s="155"/>
      <c r="BZ97" s="155"/>
      <c r="CA97" s="155"/>
      <c r="CB97" s="155"/>
      <c r="CC97" s="155"/>
      <c r="CD97" s="155"/>
      <c r="CE97" s="155"/>
      <c r="CF97" s="155"/>
      <c r="CG97" s="155"/>
      <c r="CH97" s="155"/>
      <c r="CI97" s="155"/>
      <c r="CJ97" s="155"/>
      <c r="CK97" s="155"/>
      <c r="CL97" s="155"/>
      <c r="CM97" s="155"/>
      <c r="CN97" s="155"/>
      <c r="CO97" s="155"/>
      <c r="CP97" s="155"/>
      <c r="CQ97" s="155"/>
    </row>
    <row r="98" spans="1:95" s="27" customFormat="1" x14ac:dyDescent="0.25">
      <c r="A98" s="80"/>
      <c r="B98" s="193" t="s">
        <v>234</v>
      </c>
      <c r="C98" s="79">
        <v>3.1</v>
      </c>
      <c r="D98" s="5"/>
      <c r="E98" s="79"/>
      <c r="F98" s="158"/>
      <c r="G98" s="7"/>
      <c r="H98" s="158"/>
      <c r="I98" s="7"/>
      <c r="J98" s="194"/>
      <c r="M98" s="195"/>
    </row>
    <row r="99" spans="1:95" ht="38.25" x14ac:dyDescent="0.25">
      <c r="A99" s="80"/>
      <c r="B99" s="196" t="s">
        <v>113</v>
      </c>
      <c r="C99" s="80" t="s">
        <v>82</v>
      </c>
      <c r="D99" s="15"/>
      <c r="E99" s="80" t="s">
        <v>69</v>
      </c>
      <c r="F99" s="161">
        <f>$F$8*8</f>
        <v>5944</v>
      </c>
      <c r="G99" s="1">
        <f>D99*F99</f>
        <v>0</v>
      </c>
      <c r="H99" s="161">
        <f>$H$8*8</f>
        <v>7728</v>
      </c>
      <c r="I99" s="1">
        <f>D99*H99</f>
        <v>0</v>
      </c>
      <c r="J99" s="168" t="s">
        <v>191</v>
      </c>
      <c r="M99" s="197"/>
    </row>
    <row r="100" spans="1:95" ht="51" x14ac:dyDescent="0.25">
      <c r="A100" s="80"/>
      <c r="B100" s="196" t="s">
        <v>114</v>
      </c>
      <c r="C100" s="80" t="s">
        <v>83</v>
      </c>
      <c r="D100" s="15"/>
      <c r="E100" s="80" t="s">
        <v>69</v>
      </c>
      <c r="F100" s="161">
        <f>$F$8*8</f>
        <v>5944</v>
      </c>
      <c r="G100" s="1">
        <f>D100*F100</f>
        <v>0</v>
      </c>
      <c r="H100" s="161">
        <f>$H$8*8</f>
        <v>7728</v>
      </c>
      <c r="I100" s="1">
        <f>D100*H100</f>
        <v>0</v>
      </c>
      <c r="J100" s="168" t="s">
        <v>192</v>
      </c>
      <c r="M100" s="197"/>
    </row>
    <row r="101" spans="1:95" ht="25.5" x14ac:dyDescent="0.25">
      <c r="A101" s="80"/>
      <c r="B101" s="198" t="s">
        <v>162</v>
      </c>
      <c r="C101" s="80" t="s">
        <v>28</v>
      </c>
      <c r="D101" s="181"/>
      <c r="E101" s="80" t="s">
        <v>60</v>
      </c>
      <c r="F101" s="161">
        <v>600</v>
      </c>
      <c r="G101" s="1">
        <f>D101*F101</f>
        <v>0</v>
      </c>
      <c r="H101" s="161">
        <v>600</v>
      </c>
      <c r="I101" s="1">
        <f>D101*H101</f>
        <v>0</v>
      </c>
      <c r="J101" s="199" t="s">
        <v>176</v>
      </c>
      <c r="L101" s="472"/>
      <c r="M101" s="200"/>
    </row>
    <row r="102" spans="1:95" s="16" customFormat="1" ht="38.25" x14ac:dyDescent="0.25">
      <c r="A102" s="80"/>
      <c r="B102" s="201" t="s">
        <v>115</v>
      </c>
      <c r="C102" s="81" t="s">
        <v>29</v>
      </c>
      <c r="D102" s="202"/>
      <c r="E102" s="81" t="s">
        <v>106</v>
      </c>
      <c r="F102" s="163">
        <v>300</v>
      </c>
      <c r="G102" s="10">
        <f>D102*F102</f>
        <v>0</v>
      </c>
      <c r="H102" s="163">
        <v>300</v>
      </c>
      <c r="I102" s="10">
        <f>D102*H102</f>
        <v>0</v>
      </c>
      <c r="J102" s="121" t="s">
        <v>164</v>
      </c>
      <c r="K102" s="8"/>
      <c r="L102" s="472"/>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row>
    <row r="103" spans="1:95" ht="25.5" x14ac:dyDescent="0.25">
      <c r="A103" s="80"/>
      <c r="B103" s="201" t="s">
        <v>356</v>
      </c>
      <c r="C103" s="81" t="s">
        <v>354</v>
      </c>
      <c r="D103" s="202"/>
      <c r="E103" s="81" t="s">
        <v>69</v>
      </c>
      <c r="F103" s="163">
        <f>$F$8*8</f>
        <v>5944</v>
      </c>
      <c r="G103" s="10">
        <f>D103*F103</f>
        <v>0</v>
      </c>
      <c r="H103" s="163">
        <f>$H$8*8</f>
        <v>7728</v>
      </c>
      <c r="I103" s="10">
        <f>D103*H103</f>
        <v>0</v>
      </c>
      <c r="J103" s="121" t="s">
        <v>355</v>
      </c>
      <c r="L103" s="196"/>
    </row>
    <row r="104" spans="1:95" s="186" customFormat="1" ht="25.5" x14ac:dyDescent="0.25">
      <c r="A104" s="80"/>
      <c r="B104" s="157" t="s">
        <v>229</v>
      </c>
      <c r="C104" s="5">
        <v>3.13</v>
      </c>
      <c r="D104" s="79"/>
      <c r="E104" s="5"/>
      <c r="F104" s="7"/>
      <c r="G104" s="158"/>
      <c r="H104" s="7"/>
      <c r="I104" s="158"/>
      <c r="J104" s="177" t="s">
        <v>324</v>
      </c>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c r="AX104" s="185"/>
      <c r="AY104" s="185"/>
      <c r="AZ104" s="185"/>
      <c r="BA104" s="185"/>
      <c r="BB104" s="185"/>
      <c r="BC104" s="185"/>
      <c r="BD104" s="185"/>
      <c r="BE104" s="185"/>
      <c r="BF104" s="185"/>
      <c r="BG104" s="185"/>
      <c r="BH104" s="185"/>
      <c r="BI104" s="185"/>
      <c r="BJ104" s="185"/>
      <c r="BK104" s="185"/>
      <c r="BL104" s="185"/>
      <c r="BM104" s="185"/>
      <c r="BN104" s="185"/>
      <c r="BO104" s="185"/>
      <c r="BP104" s="185"/>
      <c r="BQ104" s="185"/>
      <c r="BR104" s="185"/>
      <c r="BS104" s="185"/>
      <c r="BT104" s="185"/>
      <c r="BU104" s="185"/>
      <c r="BV104" s="185"/>
      <c r="BW104" s="185"/>
      <c r="BX104" s="185"/>
      <c r="BY104" s="185"/>
      <c r="BZ104" s="185"/>
      <c r="CA104" s="185"/>
      <c r="CB104" s="185"/>
      <c r="CC104" s="185"/>
      <c r="CD104" s="185"/>
    </row>
    <row r="105" spans="1:95" s="187" customFormat="1" x14ac:dyDescent="0.25">
      <c r="A105" s="2"/>
      <c r="B105" s="90" t="s">
        <v>230</v>
      </c>
      <c r="C105" s="66">
        <v>1.1299999999999999</v>
      </c>
      <c r="D105" s="52"/>
      <c r="E105" s="66" t="s">
        <v>60</v>
      </c>
      <c r="F105" s="50">
        <v>20</v>
      </c>
      <c r="G105" s="60">
        <f>IF(D105=0,0,IF(D105*F105&lt;400,400,D105*F105))</f>
        <v>0</v>
      </c>
      <c r="H105" s="50">
        <v>20</v>
      </c>
      <c r="I105" s="60">
        <f>IF(D105=0,0,IF(D105*H105&lt;400,400,D105*H105))</f>
        <v>0</v>
      </c>
      <c r="J105" s="154"/>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c r="AX105" s="185"/>
      <c r="AY105" s="185"/>
      <c r="AZ105" s="185"/>
      <c r="BA105" s="185"/>
      <c r="BB105" s="185"/>
      <c r="BC105" s="185"/>
      <c r="BD105" s="185"/>
      <c r="BE105" s="185"/>
      <c r="BF105" s="185"/>
      <c r="BG105" s="185"/>
      <c r="BH105" s="185"/>
      <c r="BI105" s="185"/>
      <c r="BJ105" s="185"/>
      <c r="BK105" s="185"/>
      <c r="BL105" s="185"/>
      <c r="BM105" s="185"/>
      <c r="BN105" s="185"/>
      <c r="BO105" s="185"/>
      <c r="BP105" s="185"/>
      <c r="BQ105" s="185"/>
      <c r="BR105" s="185"/>
      <c r="BS105" s="185"/>
      <c r="BT105" s="185"/>
      <c r="BU105" s="185"/>
      <c r="BV105" s="185"/>
      <c r="BW105" s="185"/>
      <c r="BX105" s="185"/>
      <c r="BY105" s="185"/>
      <c r="BZ105" s="185"/>
      <c r="CA105" s="185"/>
      <c r="CB105" s="185"/>
      <c r="CC105" s="185"/>
      <c r="CD105" s="185"/>
    </row>
    <row r="106" spans="1:95" s="185" customFormat="1" x14ac:dyDescent="0.25">
      <c r="A106" s="3"/>
      <c r="B106" s="122" t="s">
        <v>311</v>
      </c>
      <c r="C106" s="144"/>
      <c r="D106" s="81"/>
      <c r="E106" s="17"/>
      <c r="F106" s="10"/>
      <c r="G106" s="25">
        <f>SUM(G76:G105)</f>
        <v>0</v>
      </c>
      <c r="H106" s="25"/>
      <c r="I106" s="25">
        <f>SUM(I76:I105)</f>
        <v>0</v>
      </c>
      <c r="J106" s="154"/>
    </row>
    <row r="107" spans="1:95" s="204" customFormat="1" x14ac:dyDescent="0.25">
      <c r="A107" s="113"/>
      <c r="B107" s="93"/>
      <c r="C107" s="203"/>
      <c r="D107" s="203"/>
      <c r="E107" s="203"/>
      <c r="F107" s="203"/>
      <c r="G107" s="203"/>
      <c r="H107" s="203"/>
      <c r="I107" s="203"/>
      <c r="J107" s="104"/>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row>
    <row r="108" spans="1:95" s="185" customFormat="1" x14ac:dyDescent="0.25">
      <c r="A108" s="149">
        <v>3</v>
      </c>
      <c r="B108" s="122" t="s">
        <v>231</v>
      </c>
      <c r="C108" s="85"/>
      <c r="D108" s="151"/>
      <c r="E108" s="85"/>
      <c r="F108" s="151"/>
      <c r="G108" s="85"/>
      <c r="H108" s="151"/>
      <c r="I108" s="85"/>
      <c r="J108" s="153"/>
    </row>
    <row r="109" spans="1:95" ht="25.5" x14ac:dyDescent="0.25">
      <c r="A109" s="80"/>
      <c r="B109" s="11" t="s">
        <v>11</v>
      </c>
      <c r="C109" s="17">
        <v>4.0999999999999996</v>
      </c>
      <c r="D109" s="81"/>
      <c r="E109" s="17" t="s">
        <v>12</v>
      </c>
      <c r="F109" s="1">
        <f>$F$8</f>
        <v>743</v>
      </c>
      <c r="G109" s="163">
        <f>$D$109*F109</f>
        <v>0</v>
      </c>
      <c r="H109" s="10">
        <v>966</v>
      </c>
      <c r="I109" s="163">
        <f>D109*H109</f>
        <v>0</v>
      </c>
      <c r="J109" s="154" t="s">
        <v>174</v>
      </c>
    </row>
    <row r="110" spans="1:95" ht="127.5" x14ac:dyDescent="0.25">
      <c r="A110" s="80"/>
      <c r="B110" s="170" t="s">
        <v>13</v>
      </c>
      <c r="C110" s="61">
        <v>4.2</v>
      </c>
      <c r="D110" s="43"/>
      <c r="E110" s="61"/>
      <c r="F110" s="44"/>
      <c r="G110" s="56"/>
      <c r="H110" s="44"/>
      <c r="I110" s="56"/>
      <c r="J110" s="99" t="s">
        <v>349</v>
      </c>
    </row>
    <row r="111" spans="1:95" x14ac:dyDescent="0.25">
      <c r="A111" s="80"/>
      <c r="B111" s="88" t="s">
        <v>14</v>
      </c>
      <c r="C111" s="64">
        <v>1.3</v>
      </c>
      <c r="D111" s="46"/>
      <c r="E111" s="64" t="s">
        <v>12</v>
      </c>
      <c r="F111" s="47">
        <f>$F$8</f>
        <v>743</v>
      </c>
      <c r="G111" s="58">
        <f>D111*F111</f>
        <v>0</v>
      </c>
      <c r="H111" s="47">
        <f>$H$8</f>
        <v>966</v>
      </c>
      <c r="I111" s="58">
        <f t="shared" ref="I111:I113" si="12">D111*H111</f>
        <v>0</v>
      </c>
      <c r="J111" s="100"/>
    </row>
    <row r="112" spans="1:95" x14ac:dyDescent="0.25">
      <c r="A112" s="80"/>
      <c r="B112" s="88" t="s">
        <v>35</v>
      </c>
      <c r="C112" s="64">
        <v>1.3</v>
      </c>
      <c r="D112" s="46"/>
      <c r="E112" s="64" t="s">
        <v>12</v>
      </c>
      <c r="F112" s="47">
        <f>$F$8*2</f>
        <v>1486</v>
      </c>
      <c r="G112" s="58">
        <f t="shared" ref="G112:G113" si="13">D112*F112</f>
        <v>0</v>
      </c>
      <c r="H112" s="47">
        <f>$H$8*2</f>
        <v>1932</v>
      </c>
      <c r="I112" s="58">
        <f t="shared" si="12"/>
        <v>0</v>
      </c>
      <c r="J112" s="100"/>
    </row>
    <row r="113" spans="1:12" x14ac:dyDescent="0.25">
      <c r="A113" s="80"/>
      <c r="B113" s="89" t="s">
        <v>111</v>
      </c>
      <c r="C113" s="66">
        <v>1.3</v>
      </c>
      <c r="D113" s="49"/>
      <c r="E113" s="66" t="s">
        <v>12</v>
      </c>
      <c r="F113" s="50">
        <f>$F$8*3</f>
        <v>2229</v>
      </c>
      <c r="G113" s="58">
        <f t="shared" si="13"/>
        <v>0</v>
      </c>
      <c r="H113" s="50">
        <f>$H$8*3</f>
        <v>2898</v>
      </c>
      <c r="I113" s="60">
        <f t="shared" si="12"/>
        <v>0</v>
      </c>
      <c r="J113" s="101"/>
    </row>
    <row r="114" spans="1:12" ht="153" x14ac:dyDescent="0.25">
      <c r="A114" s="80"/>
      <c r="B114" s="170" t="s">
        <v>15</v>
      </c>
      <c r="C114" s="61">
        <v>1.4</v>
      </c>
      <c r="D114" s="205"/>
      <c r="E114" s="61"/>
      <c r="F114" s="44"/>
      <c r="G114" s="56"/>
      <c r="H114" s="44"/>
      <c r="I114" s="56"/>
      <c r="J114" s="99" t="s">
        <v>388</v>
      </c>
    </row>
    <row r="115" spans="1:12" x14ac:dyDescent="0.25">
      <c r="A115" s="80"/>
      <c r="B115" s="88" t="s">
        <v>122</v>
      </c>
      <c r="C115" s="64" t="s">
        <v>16</v>
      </c>
      <c r="D115" s="206"/>
      <c r="E115" s="86"/>
      <c r="F115" s="47"/>
      <c r="G115" s="58"/>
      <c r="H115" s="47"/>
      <c r="I115" s="58"/>
      <c r="J115" s="207"/>
    </row>
    <row r="116" spans="1:12" ht="12.75" customHeight="1" x14ac:dyDescent="0.25">
      <c r="A116" s="80"/>
      <c r="B116" s="88" t="s">
        <v>123</v>
      </c>
      <c r="C116" s="64" t="s">
        <v>16</v>
      </c>
      <c r="D116" s="172"/>
      <c r="E116" s="86" t="s">
        <v>60</v>
      </c>
      <c r="F116" s="47">
        <f>2700/3</f>
        <v>900</v>
      </c>
      <c r="G116" s="58">
        <f>$D$116*F116</f>
        <v>0</v>
      </c>
      <c r="H116" s="47">
        <f>2700/3</f>
        <v>900</v>
      </c>
      <c r="I116" s="58">
        <f>D116*H116</f>
        <v>0</v>
      </c>
      <c r="J116" s="473" t="s">
        <v>389</v>
      </c>
    </row>
    <row r="117" spans="1:12" x14ac:dyDescent="0.25">
      <c r="A117" s="80"/>
      <c r="B117" s="88" t="s">
        <v>124</v>
      </c>
      <c r="C117" s="64" t="s">
        <v>16</v>
      </c>
      <c r="D117" s="46"/>
      <c r="E117" s="86" t="s">
        <v>60</v>
      </c>
      <c r="F117" s="47">
        <f>5400/3</f>
        <v>1800</v>
      </c>
      <c r="G117" s="58">
        <f t="shared" ref="G117:G121" si="14">D117*F117</f>
        <v>0</v>
      </c>
      <c r="H117" s="47">
        <f>5400/3</f>
        <v>1800</v>
      </c>
      <c r="I117" s="58">
        <f t="shared" ref="I117:I121" si="15">D117*H117</f>
        <v>0</v>
      </c>
      <c r="J117" s="474"/>
    </row>
    <row r="118" spans="1:12" x14ac:dyDescent="0.25">
      <c r="A118" s="80"/>
      <c r="B118" s="88" t="s">
        <v>116</v>
      </c>
      <c r="C118" s="64" t="s">
        <v>16</v>
      </c>
      <c r="D118" s="46"/>
      <c r="E118" s="86" t="s">
        <v>60</v>
      </c>
      <c r="F118" s="47">
        <f>8100/3</f>
        <v>2700</v>
      </c>
      <c r="G118" s="58">
        <f t="shared" si="14"/>
        <v>0</v>
      </c>
      <c r="H118" s="47">
        <f>8100/3</f>
        <v>2700</v>
      </c>
      <c r="I118" s="58">
        <f t="shared" si="15"/>
        <v>0</v>
      </c>
      <c r="J118" s="474"/>
    </row>
    <row r="119" spans="1:12" x14ac:dyDescent="0.25">
      <c r="A119" s="80"/>
      <c r="B119" s="77" t="s">
        <v>125</v>
      </c>
      <c r="C119" s="64" t="s">
        <v>17</v>
      </c>
      <c r="D119" s="172"/>
      <c r="E119" s="86" t="s">
        <v>60</v>
      </c>
      <c r="F119" s="47">
        <v>4660</v>
      </c>
      <c r="G119" s="58">
        <f t="shared" si="14"/>
        <v>0</v>
      </c>
      <c r="H119" s="47">
        <v>4660</v>
      </c>
      <c r="I119" s="58">
        <f t="shared" si="15"/>
        <v>0</v>
      </c>
      <c r="J119" s="207" t="s">
        <v>390</v>
      </c>
    </row>
    <row r="120" spans="1:12" ht="38.25" x14ac:dyDescent="0.25">
      <c r="A120" s="80"/>
      <c r="B120" s="77" t="s">
        <v>126</v>
      </c>
      <c r="C120" s="64" t="s">
        <v>18</v>
      </c>
      <c r="D120" s="172"/>
      <c r="E120" s="86" t="s">
        <v>60</v>
      </c>
      <c r="F120" s="47">
        <v>1970</v>
      </c>
      <c r="G120" s="58">
        <f t="shared" si="14"/>
        <v>0</v>
      </c>
      <c r="H120" s="47">
        <v>1970</v>
      </c>
      <c r="I120" s="58">
        <f t="shared" si="15"/>
        <v>0</v>
      </c>
      <c r="J120" s="165" t="s">
        <v>346</v>
      </c>
    </row>
    <row r="121" spans="1:12" s="213" customFormat="1" ht="25.5" x14ac:dyDescent="0.25">
      <c r="A121" s="80"/>
      <c r="B121" s="208" t="s">
        <v>204</v>
      </c>
      <c r="C121" s="84" t="s">
        <v>78</v>
      </c>
      <c r="D121" s="209"/>
      <c r="E121" s="210" t="s">
        <v>59</v>
      </c>
      <c r="F121" s="211">
        <v>300</v>
      </c>
      <c r="G121" s="212">
        <f t="shared" si="14"/>
        <v>0</v>
      </c>
      <c r="H121" s="211">
        <v>300</v>
      </c>
      <c r="I121" s="212">
        <f t="shared" si="15"/>
        <v>0</v>
      </c>
      <c r="J121" s="174" t="s">
        <v>350</v>
      </c>
    </row>
    <row r="122" spans="1:12" ht="127.5" x14ac:dyDescent="0.25">
      <c r="A122" s="80"/>
      <c r="B122" s="170" t="s">
        <v>21</v>
      </c>
      <c r="C122" s="61">
        <v>4.3</v>
      </c>
      <c r="D122" s="53"/>
      <c r="E122" s="63"/>
      <c r="F122" s="54"/>
      <c r="G122" s="56"/>
      <c r="H122" s="54"/>
      <c r="I122" s="56"/>
      <c r="J122" s="99" t="s">
        <v>386</v>
      </c>
      <c r="K122" s="464" t="s">
        <v>399</v>
      </c>
      <c r="L122" s="465"/>
    </row>
    <row r="123" spans="1:12" ht="38.25" x14ac:dyDescent="0.25">
      <c r="A123" s="80"/>
      <c r="B123" s="77" t="s">
        <v>132</v>
      </c>
      <c r="C123" s="64" t="s">
        <v>22</v>
      </c>
      <c r="D123" s="46"/>
      <c r="E123" s="64" t="s">
        <v>69</v>
      </c>
      <c r="F123" s="47">
        <f>2*1000</f>
        <v>2000</v>
      </c>
      <c r="G123" s="58">
        <f>D123*F123</f>
        <v>0</v>
      </c>
      <c r="H123" s="47">
        <f>2.6*1000</f>
        <v>2600</v>
      </c>
      <c r="I123" s="58">
        <f>D123*H123</f>
        <v>0</v>
      </c>
      <c r="J123" s="165" t="s">
        <v>378</v>
      </c>
    </row>
    <row r="124" spans="1:12" ht="38.25" x14ac:dyDescent="0.25">
      <c r="A124" s="80"/>
      <c r="B124" s="90" t="s">
        <v>133</v>
      </c>
      <c r="C124" s="66" t="s">
        <v>22</v>
      </c>
      <c r="D124" s="49"/>
      <c r="E124" s="66" t="s">
        <v>69</v>
      </c>
      <c r="F124" s="50">
        <f>2.5*1000</f>
        <v>2500</v>
      </c>
      <c r="G124" s="58">
        <f>D124*F124</f>
        <v>0</v>
      </c>
      <c r="H124" s="47">
        <f>3.25*1000</f>
        <v>3250</v>
      </c>
      <c r="I124" s="58">
        <f>D124*H124</f>
        <v>0</v>
      </c>
      <c r="J124" s="102" t="s">
        <v>379</v>
      </c>
    </row>
    <row r="125" spans="1:12" x14ac:dyDescent="0.25">
      <c r="A125" s="80"/>
      <c r="B125" s="157" t="s">
        <v>23</v>
      </c>
      <c r="C125" s="5">
        <v>4.4000000000000004</v>
      </c>
      <c r="D125" s="166"/>
      <c r="E125" s="5"/>
      <c r="F125" s="7"/>
      <c r="G125" s="158"/>
      <c r="H125" s="7"/>
      <c r="I125" s="158"/>
      <c r="J125" s="167"/>
    </row>
    <row r="126" spans="1:12" ht="25.5" x14ac:dyDescent="0.25">
      <c r="A126" s="80"/>
      <c r="B126" s="13" t="s">
        <v>135</v>
      </c>
      <c r="C126" s="15" t="s">
        <v>24</v>
      </c>
      <c r="D126" s="80"/>
      <c r="E126" s="15" t="s">
        <v>69</v>
      </c>
      <c r="F126" s="1">
        <f>$F$8/1.6</f>
        <v>464.375</v>
      </c>
      <c r="G126" s="161">
        <f>D126*F126</f>
        <v>0</v>
      </c>
      <c r="H126" s="1">
        <f>$H$8/1.6</f>
        <v>603.75</v>
      </c>
      <c r="I126" s="161">
        <f>D126*H126</f>
        <v>0</v>
      </c>
      <c r="J126" s="168" t="s">
        <v>422</v>
      </c>
    </row>
    <row r="127" spans="1:12" x14ac:dyDescent="0.25">
      <c r="A127" s="80"/>
      <c r="B127" s="26" t="s">
        <v>134</v>
      </c>
      <c r="C127" s="17" t="s">
        <v>24</v>
      </c>
      <c r="D127" s="81"/>
      <c r="E127" s="17" t="s">
        <v>69</v>
      </c>
      <c r="F127" s="1">
        <f>$F$8/1</f>
        <v>743</v>
      </c>
      <c r="G127" s="161">
        <f>D127*F127</f>
        <v>0</v>
      </c>
      <c r="H127" s="1">
        <f>$H$8/1</f>
        <v>966</v>
      </c>
      <c r="I127" s="161">
        <f>D127*H127</f>
        <v>0</v>
      </c>
      <c r="J127" s="169" t="s">
        <v>184</v>
      </c>
    </row>
    <row r="128" spans="1:12" x14ac:dyDescent="0.25">
      <c r="A128" s="80"/>
      <c r="B128" s="170" t="s">
        <v>227</v>
      </c>
      <c r="C128" s="61" t="s">
        <v>260</v>
      </c>
      <c r="D128" s="171"/>
      <c r="E128" s="61"/>
      <c r="F128" s="44"/>
      <c r="G128" s="56"/>
      <c r="H128" s="44"/>
      <c r="I128" s="56"/>
      <c r="J128" s="105"/>
    </row>
    <row r="129" spans="1:95" ht="38.25" x14ac:dyDescent="0.25">
      <c r="A129" s="80"/>
      <c r="B129" s="88" t="s">
        <v>130</v>
      </c>
      <c r="C129" s="64" t="s">
        <v>20</v>
      </c>
      <c r="D129" s="172"/>
      <c r="E129" s="64" t="s">
        <v>60</v>
      </c>
      <c r="F129" s="47">
        <f>$F$8/4</f>
        <v>185.75</v>
      </c>
      <c r="G129" s="58">
        <f>D129*F129</f>
        <v>0</v>
      </c>
      <c r="H129" s="47">
        <f>$H$8/4</f>
        <v>241.5</v>
      </c>
      <c r="I129" s="58">
        <f>D129*H129</f>
        <v>0</v>
      </c>
      <c r="J129" s="173" t="s">
        <v>426</v>
      </c>
    </row>
    <row r="130" spans="1:95" ht="38.25" x14ac:dyDescent="0.25">
      <c r="A130" s="80"/>
      <c r="B130" s="88" t="s">
        <v>127</v>
      </c>
      <c r="C130" s="64" t="s">
        <v>20</v>
      </c>
      <c r="D130" s="51"/>
      <c r="E130" s="64" t="s">
        <v>60</v>
      </c>
      <c r="F130" s="47">
        <f>$F$8/2</f>
        <v>371.5</v>
      </c>
      <c r="G130" s="58">
        <f>D130*F130</f>
        <v>0</v>
      </c>
      <c r="H130" s="47">
        <f>$H$8/2</f>
        <v>483</v>
      </c>
      <c r="I130" s="58">
        <f>D130*H130</f>
        <v>0</v>
      </c>
      <c r="J130" s="173" t="s">
        <v>427</v>
      </c>
    </row>
    <row r="131" spans="1:95" ht="140.25" x14ac:dyDescent="0.25">
      <c r="A131" s="2"/>
      <c r="B131" s="90" t="s">
        <v>128</v>
      </c>
      <c r="C131" s="66">
        <v>1.1299999999999999</v>
      </c>
      <c r="D131" s="52"/>
      <c r="E131" s="66" t="s">
        <v>60</v>
      </c>
      <c r="F131" s="50">
        <v>20</v>
      </c>
      <c r="G131" s="60">
        <f>IF(D131=0,0,IF(D131*F131&lt;400,400,D131*F131))</f>
        <v>0</v>
      </c>
      <c r="H131" s="50">
        <v>20</v>
      </c>
      <c r="I131" s="60">
        <f>IF(D131=0,0,IF(D131*H131&lt;400,400,D131*H131))</f>
        <v>0</v>
      </c>
      <c r="J131" s="214" t="s">
        <v>391</v>
      </c>
    </row>
    <row r="132" spans="1:95" x14ac:dyDescent="0.25">
      <c r="A132" s="2"/>
      <c r="B132" s="13"/>
      <c r="C132" s="15"/>
      <c r="D132" s="2"/>
      <c r="E132" s="15"/>
      <c r="F132" s="1"/>
      <c r="G132" s="161"/>
      <c r="H132" s="1"/>
      <c r="I132" s="161"/>
      <c r="J132" s="214"/>
    </row>
    <row r="133" spans="1:95" x14ac:dyDescent="0.25">
      <c r="A133" s="2"/>
      <c r="B133" s="13"/>
      <c r="C133" s="15"/>
      <c r="D133" s="2"/>
      <c r="E133" s="15"/>
      <c r="F133" s="1"/>
      <c r="G133" s="161"/>
      <c r="H133" s="1"/>
      <c r="I133" s="161"/>
      <c r="J133" s="214"/>
    </row>
    <row r="134" spans="1:95" ht="102" x14ac:dyDescent="0.25">
      <c r="A134" s="80"/>
      <c r="B134" s="92" t="s">
        <v>249</v>
      </c>
      <c r="C134" s="61">
        <v>4.5999999999999996</v>
      </c>
      <c r="D134" s="83"/>
      <c r="E134" s="61"/>
      <c r="F134" s="83"/>
      <c r="G134" s="56"/>
      <c r="H134" s="83"/>
      <c r="I134" s="56"/>
      <c r="J134" s="99" t="s">
        <v>387</v>
      </c>
    </row>
    <row r="135" spans="1:95" ht="25.5" x14ac:dyDescent="0.25">
      <c r="A135" s="2"/>
      <c r="B135" s="91" t="s">
        <v>112</v>
      </c>
      <c r="C135" s="64" t="s">
        <v>107</v>
      </c>
      <c r="D135" s="45"/>
      <c r="E135" s="64" t="s">
        <v>12</v>
      </c>
      <c r="F135" s="47">
        <f>$F$8*1.25</f>
        <v>928.75</v>
      </c>
      <c r="G135" s="58">
        <f>D135*F135</f>
        <v>0</v>
      </c>
      <c r="H135" s="47">
        <f>$H$8*1.25</f>
        <v>1207.5</v>
      </c>
      <c r="I135" s="58">
        <f>D135*H135</f>
        <v>0</v>
      </c>
      <c r="J135" s="165" t="s">
        <v>374</v>
      </c>
    </row>
    <row r="136" spans="1:95" ht="25.5" x14ac:dyDescent="0.25">
      <c r="A136" s="2"/>
      <c r="B136" s="91" t="s">
        <v>141</v>
      </c>
      <c r="C136" s="64" t="s">
        <v>108</v>
      </c>
      <c r="D136" s="45"/>
      <c r="E136" s="64" t="s">
        <v>12</v>
      </c>
      <c r="F136" s="47">
        <f>$F$8*1.5</f>
        <v>1114.5</v>
      </c>
      <c r="G136" s="58">
        <f t="shared" ref="G136:G137" si="16">D136*F136</f>
        <v>0</v>
      </c>
      <c r="H136" s="47">
        <f>$H$8*1.5</f>
        <v>1449</v>
      </c>
      <c r="I136" s="58">
        <f t="shared" ref="I136:I137" si="17">D136*H136</f>
        <v>0</v>
      </c>
      <c r="J136" s="165" t="s">
        <v>375</v>
      </c>
    </row>
    <row r="137" spans="1:95" ht="25.5" x14ac:dyDescent="0.25">
      <c r="A137" s="2"/>
      <c r="B137" s="215" t="s">
        <v>142</v>
      </c>
      <c r="C137" s="84" t="s">
        <v>109</v>
      </c>
      <c r="D137" s="216"/>
      <c r="E137" s="84" t="s">
        <v>12</v>
      </c>
      <c r="F137" s="211">
        <v>900</v>
      </c>
      <c r="G137" s="212">
        <f t="shared" si="16"/>
        <v>0</v>
      </c>
      <c r="H137" s="211">
        <v>900</v>
      </c>
      <c r="I137" s="212">
        <f t="shared" si="17"/>
        <v>0</v>
      </c>
      <c r="J137" s="174" t="s">
        <v>376</v>
      </c>
    </row>
    <row r="138" spans="1:95" s="159" customFormat="1" x14ac:dyDescent="0.25">
      <c r="A138" s="2"/>
      <c r="B138" s="175" t="s">
        <v>353</v>
      </c>
      <c r="C138" s="5">
        <v>4.7</v>
      </c>
      <c r="D138" s="176"/>
      <c r="E138" s="5"/>
      <c r="F138" s="7"/>
      <c r="G138" s="158"/>
      <c r="H138" s="7"/>
      <c r="I138" s="158"/>
      <c r="J138" s="177"/>
      <c r="K138" s="155"/>
      <c r="L138" s="155"/>
      <c r="M138" s="155"/>
      <c r="N138" s="155"/>
      <c r="O138" s="155"/>
      <c r="P138" s="155"/>
      <c r="Q138" s="155"/>
      <c r="R138" s="155"/>
      <c r="S138" s="155"/>
      <c r="T138" s="155"/>
      <c r="U138" s="155"/>
      <c r="V138" s="155"/>
      <c r="W138" s="155"/>
      <c r="X138" s="155"/>
      <c r="Y138" s="155"/>
      <c r="Z138" s="155"/>
      <c r="AA138" s="155"/>
      <c r="AB138" s="155"/>
      <c r="AC138" s="155"/>
      <c r="AD138" s="155"/>
      <c r="AE138" s="155"/>
      <c r="AF138" s="155"/>
      <c r="AG138" s="155"/>
      <c r="AH138" s="155"/>
      <c r="AI138" s="155"/>
      <c r="AJ138" s="155"/>
      <c r="AK138" s="155"/>
      <c r="AL138" s="155"/>
      <c r="AM138" s="155"/>
      <c r="AN138" s="155"/>
      <c r="AO138" s="155"/>
      <c r="AP138" s="155"/>
      <c r="AQ138" s="155"/>
      <c r="AR138" s="155"/>
      <c r="AS138" s="155"/>
      <c r="AT138" s="155"/>
      <c r="AU138" s="155"/>
      <c r="AV138" s="155"/>
      <c r="AW138" s="155"/>
      <c r="AX138" s="155"/>
      <c r="AY138" s="155"/>
      <c r="AZ138" s="155"/>
      <c r="BA138" s="155"/>
      <c r="BB138" s="155"/>
      <c r="BC138" s="155"/>
      <c r="BD138" s="155"/>
      <c r="BE138" s="155"/>
      <c r="BF138" s="155"/>
      <c r="BG138" s="155"/>
      <c r="BH138" s="155"/>
      <c r="BI138" s="155"/>
      <c r="BJ138" s="155"/>
      <c r="BK138" s="155"/>
      <c r="BL138" s="155"/>
      <c r="BM138" s="155"/>
      <c r="BN138" s="155"/>
      <c r="BO138" s="155"/>
      <c r="BP138" s="155"/>
      <c r="BQ138" s="155"/>
      <c r="BR138" s="155"/>
      <c r="BS138" s="155"/>
      <c r="BT138" s="155"/>
      <c r="BU138" s="155"/>
      <c r="BV138" s="155"/>
      <c r="BW138" s="155"/>
      <c r="BX138" s="155"/>
      <c r="BY138" s="155"/>
      <c r="BZ138" s="155"/>
      <c r="CA138" s="155"/>
      <c r="CB138" s="155"/>
      <c r="CC138" s="155"/>
      <c r="CD138" s="155"/>
      <c r="CE138" s="155"/>
      <c r="CF138" s="155"/>
      <c r="CG138" s="155"/>
      <c r="CH138" s="155"/>
      <c r="CI138" s="155"/>
      <c r="CJ138" s="155"/>
      <c r="CK138" s="155"/>
      <c r="CL138" s="155"/>
      <c r="CM138" s="155"/>
      <c r="CN138" s="155"/>
      <c r="CO138" s="155"/>
      <c r="CP138" s="155"/>
      <c r="CQ138" s="155"/>
    </row>
    <row r="139" spans="1:95" s="164" customFormat="1" ht="25.5" x14ac:dyDescent="0.25">
      <c r="A139" s="2"/>
      <c r="B139" s="178" t="s">
        <v>261</v>
      </c>
      <c r="C139" s="17">
        <v>1.9</v>
      </c>
      <c r="D139" s="179"/>
      <c r="E139" s="192" t="s">
        <v>12</v>
      </c>
      <c r="F139" s="10">
        <f>$F$8*1.2</f>
        <v>891.6</v>
      </c>
      <c r="G139" s="10">
        <f>D139*F139</f>
        <v>0</v>
      </c>
      <c r="H139" s="10">
        <f>$H$8*1.2</f>
        <v>1159.2</v>
      </c>
      <c r="I139" s="10">
        <f>D139*H139</f>
        <v>0</v>
      </c>
      <c r="J139" s="154" t="s">
        <v>377</v>
      </c>
      <c r="K139" s="155"/>
      <c r="L139" s="155"/>
      <c r="M139" s="155"/>
      <c r="N139" s="155"/>
      <c r="O139" s="155"/>
      <c r="P139" s="155"/>
      <c r="Q139" s="155"/>
      <c r="R139" s="155"/>
      <c r="S139" s="155"/>
      <c r="T139" s="155"/>
      <c r="U139" s="155"/>
      <c r="V139" s="155"/>
      <c r="W139" s="155"/>
      <c r="X139" s="155"/>
      <c r="Y139" s="155"/>
      <c r="Z139" s="155"/>
      <c r="AA139" s="155"/>
      <c r="AB139" s="155"/>
      <c r="AC139" s="155"/>
      <c r="AD139" s="155"/>
      <c r="AE139" s="155"/>
      <c r="AF139" s="155"/>
      <c r="AG139" s="155"/>
      <c r="AH139" s="155"/>
      <c r="AI139" s="155"/>
      <c r="AJ139" s="155"/>
      <c r="AK139" s="155"/>
      <c r="AL139" s="155"/>
      <c r="AM139" s="155"/>
      <c r="AN139" s="155"/>
      <c r="AO139" s="155"/>
      <c r="AP139" s="155"/>
      <c r="AQ139" s="155"/>
      <c r="AR139" s="155"/>
      <c r="AS139" s="155"/>
      <c r="AT139" s="155"/>
      <c r="AU139" s="155"/>
      <c r="AV139" s="155"/>
      <c r="AW139" s="155"/>
      <c r="AX139" s="155"/>
      <c r="AY139" s="155"/>
      <c r="AZ139" s="155"/>
      <c r="BA139" s="155"/>
      <c r="BB139" s="155"/>
      <c r="BC139" s="155"/>
      <c r="BD139" s="155"/>
      <c r="BE139" s="155"/>
      <c r="BF139" s="155"/>
      <c r="BG139" s="155"/>
      <c r="BH139" s="155"/>
      <c r="BI139" s="155"/>
      <c r="BJ139" s="155"/>
      <c r="BK139" s="155"/>
      <c r="BL139" s="155"/>
      <c r="BM139" s="155"/>
      <c r="BN139" s="155"/>
      <c r="BO139" s="155"/>
      <c r="BP139" s="155"/>
      <c r="BQ139" s="155"/>
      <c r="BR139" s="155"/>
      <c r="BS139" s="155"/>
      <c r="BT139" s="155"/>
      <c r="BU139" s="155"/>
      <c r="BV139" s="155"/>
      <c r="BW139" s="155"/>
      <c r="BX139" s="155"/>
      <c r="BY139" s="155"/>
      <c r="BZ139" s="155"/>
      <c r="CA139" s="155"/>
      <c r="CB139" s="155"/>
      <c r="CC139" s="155"/>
      <c r="CD139" s="155"/>
      <c r="CE139" s="155"/>
      <c r="CF139" s="155"/>
      <c r="CG139" s="155"/>
      <c r="CH139" s="155"/>
      <c r="CI139" s="155"/>
      <c r="CJ139" s="155"/>
      <c r="CK139" s="155"/>
      <c r="CL139" s="155"/>
      <c r="CM139" s="155"/>
      <c r="CN139" s="155"/>
      <c r="CO139" s="155"/>
      <c r="CP139" s="155"/>
      <c r="CQ139" s="155"/>
    </row>
    <row r="140" spans="1:95" x14ac:dyDescent="0.25">
      <c r="A140" s="80"/>
      <c r="B140" s="170" t="s">
        <v>25</v>
      </c>
      <c r="C140" s="61">
        <v>4.9000000000000004</v>
      </c>
      <c r="D140" s="43"/>
      <c r="E140" s="61"/>
      <c r="F140" s="54"/>
      <c r="G140" s="82"/>
      <c r="H140" s="54"/>
      <c r="I140" s="56"/>
      <c r="J140" s="99" t="s">
        <v>163</v>
      </c>
    </row>
    <row r="141" spans="1:95" x14ac:dyDescent="0.25">
      <c r="A141" s="80"/>
      <c r="B141" s="77" t="s">
        <v>138</v>
      </c>
      <c r="C141" s="64">
        <v>4.9000000000000004</v>
      </c>
      <c r="D141" s="46"/>
      <c r="E141" s="64" t="s">
        <v>119</v>
      </c>
      <c r="F141" s="47">
        <f>$F$8/2</f>
        <v>371.5</v>
      </c>
      <c r="G141" s="58">
        <f>D141*F141</f>
        <v>0</v>
      </c>
      <c r="H141" s="47">
        <f>$H$8/2</f>
        <v>483</v>
      </c>
      <c r="I141" s="58">
        <f>D141*H141</f>
        <v>0</v>
      </c>
      <c r="J141" s="100" t="s">
        <v>188</v>
      </c>
    </row>
    <row r="142" spans="1:95" x14ac:dyDescent="0.25">
      <c r="A142" s="80"/>
      <c r="B142" s="77" t="s">
        <v>139</v>
      </c>
      <c r="C142" s="64">
        <v>4.9000000000000004</v>
      </c>
      <c r="D142" s="46"/>
      <c r="E142" s="64" t="s">
        <v>119</v>
      </c>
      <c r="F142" s="47">
        <f>$F$8/1.5</f>
        <v>495.33333333333331</v>
      </c>
      <c r="G142" s="58">
        <f>D142*F142</f>
        <v>0</v>
      </c>
      <c r="H142" s="47">
        <f>$H$8/1.5</f>
        <v>644</v>
      </c>
      <c r="I142" s="58">
        <f t="shared" ref="I142:I143" si="18">D142*H142</f>
        <v>0</v>
      </c>
      <c r="J142" s="100" t="s">
        <v>189</v>
      </c>
    </row>
    <row r="143" spans="1:95" x14ac:dyDescent="0.25">
      <c r="A143" s="80"/>
      <c r="B143" s="217" t="s">
        <v>140</v>
      </c>
      <c r="C143" s="84">
        <v>4.9000000000000004</v>
      </c>
      <c r="D143" s="218"/>
      <c r="E143" s="84" t="s">
        <v>119</v>
      </c>
      <c r="F143" s="211">
        <f>$F$8/1</f>
        <v>743</v>
      </c>
      <c r="G143" s="212">
        <f>D143*F143</f>
        <v>0</v>
      </c>
      <c r="H143" s="211">
        <f>$H$8/1</f>
        <v>966</v>
      </c>
      <c r="I143" s="212">
        <f t="shared" si="18"/>
        <v>0</v>
      </c>
      <c r="J143" s="106" t="s">
        <v>190</v>
      </c>
    </row>
    <row r="144" spans="1:95" x14ac:dyDescent="0.25">
      <c r="A144" s="80"/>
      <c r="B144" s="170" t="s">
        <v>68</v>
      </c>
      <c r="C144" s="55" t="s">
        <v>161</v>
      </c>
      <c r="D144" s="171"/>
      <c r="E144" s="61"/>
      <c r="F144" s="44"/>
      <c r="G144" s="56"/>
      <c r="H144" s="44"/>
      <c r="I144" s="56"/>
      <c r="J144" s="107"/>
    </row>
    <row r="145" spans="1:95" ht="25.5" x14ac:dyDescent="0.25">
      <c r="A145" s="80"/>
      <c r="B145" s="77" t="s">
        <v>117</v>
      </c>
      <c r="C145" s="64" t="s">
        <v>67</v>
      </c>
      <c r="D145" s="172"/>
      <c r="E145" s="64" t="s">
        <v>69</v>
      </c>
      <c r="F145" s="47">
        <f>$F$8*2.75</f>
        <v>2043.25</v>
      </c>
      <c r="G145" s="58">
        <f>D145*F145</f>
        <v>0</v>
      </c>
      <c r="H145" s="47">
        <f>$H$8*2.75</f>
        <v>2656.5</v>
      </c>
      <c r="I145" s="58">
        <f>D145*H145</f>
        <v>0</v>
      </c>
      <c r="J145" s="165" t="s">
        <v>185</v>
      </c>
    </row>
    <row r="146" spans="1:95" x14ac:dyDescent="0.25">
      <c r="A146" s="80"/>
      <c r="B146" s="77" t="s">
        <v>84</v>
      </c>
      <c r="C146" s="64" t="s">
        <v>67</v>
      </c>
      <c r="D146" s="172"/>
      <c r="E146" s="64" t="s">
        <v>69</v>
      </c>
      <c r="F146" s="47">
        <f>$F$8*4.75</f>
        <v>3529.25</v>
      </c>
      <c r="G146" s="58">
        <f t="shared" ref="G146:G147" si="19">D146*F146</f>
        <v>0</v>
      </c>
      <c r="H146" s="47">
        <f>$H$8*4.75</f>
        <v>4588.5</v>
      </c>
      <c r="I146" s="58">
        <f t="shared" ref="I146:I147" si="20">D146*H146</f>
        <v>0</v>
      </c>
      <c r="J146" s="100" t="s">
        <v>186</v>
      </c>
    </row>
    <row r="147" spans="1:95" x14ac:dyDescent="0.25">
      <c r="A147" s="80"/>
      <c r="B147" s="217" t="s">
        <v>136</v>
      </c>
      <c r="C147" s="84" t="s">
        <v>67</v>
      </c>
      <c r="D147" s="209"/>
      <c r="E147" s="84" t="s">
        <v>69</v>
      </c>
      <c r="F147" s="211">
        <f>$F$8*4.25</f>
        <v>3157.75</v>
      </c>
      <c r="G147" s="212">
        <f t="shared" si="19"/>
        <v>0</v>
      </c>
      <c r="H147" s="211">
        <f>$H$8*4.25</f>
        <v>4105.5</v>
      </c>
      <c r="I147" s="212">
        <f t="shared" si="20"/>
        <v>0</v>
      </c>
      <c r="J147" s="106" t="s">
        <v>187</v>
      </c>
    </row>
    <row r="148" spans="1:95" x14ac:dyDescent="0.25">
      <c r="A148" s="80"/>
      <c r="B148" s="219" t="s">
        <v>280</v>
      </c>
      <c r="C148" s="166">
        <v>4.1100000000000003</v>
      </c>
      <c r="D148" s="220"/>
      <c r="E148" s="79"/>
      <c r="F148" s="158"/>
      <c r="G148" s="7"/>
      <c r="H148" s="158"/>
      <c r="I148" s="7"/>
      <c r="J148" s="194"/>
    </row>
    <row r="149" spans="1:95" ht="127.5" x14ac:dyDescent="0.25">
      <c r="A149" s="80"/>
      <c r="B149" s="12" t="s">
        <v>21</v>
      </c>
      <c r="C149" s="80" t="s">
        <v>279</v>
      </c>
      <c r="E149" s="2"/>
      <c r="F149" s="39"/>
      <c r="G149" s="1"/>
      <c r="H149" s="39"/>
      <c r="I149" s="1"/>
      <c r="J149" s="99" t="s">
        <v>386</v>
      </c>
      <c r="K149" s="464" t="s">
        <v>399</v>
      </c>
      <c r="L149" s="465"/>
    </row>
    <row r="150" spans="1:95" ht="25.5" x14ac:dyDescent="0.25">
      <c r="A150" s="80"/>
      <c r="B150" s="8" t="s">
        <v>132</v>
      </c>
      <c r="C150" s="80" t="s">
        <v>22</v>
      </c>
      <c r="D150" s="15"/>
      <c r="E150" s="80" t="s">
        <v>69</v>
      </c>
      <c r="F150" s="161">
        <f>2*1000</f>
        <v>2000</v>
      </c>
      <c r="G150" s="1">
        <f>D150*F150</f>
        <v>0</v>
      </c>
      <c r="H150" s="161">
        <f>2.6*1000</f>
        <v>2600</v>
      </c>
      <c r="I150" s="1">
        <f>D150*H150</f>
        <v>0</v>
      </c>
      <c r="J150" s="168" t="s">
        <v>182</v>
      </c>
    </row>
    <row r="151" spans="1:95" ht="25.5" x14ac:dyDescent="0.25">
      <c r="A151" s="80"/>
      <c r="B151" s="8" t="s">
        <v>133</v>
      </c>
      <c r="C151" s="80" t="s">
        <v>22</v>
      </c>
      <c r="D151" s="15"/>
      <c r="E151" s="80" t="s">
        <v>69</v>
      </c>
      <c r="F151" s="161">
        <f>2.5*1000</f>
        <v>2500</v>
      </c>
      <c r="G151" s="1">
        <f>D151*F151</f>
        <v>0</v>
      </c>
      <c r="H151" s="161">
        <f>3.25*1000</f>
        <v>3250</v>
      </c>
      <c r="I151" s="1">
        <f>D151*H151</f>
        <v>0</v>
      </c>
      <c r="J151" s="168" t="s">
        <v>183</v>
      </c>
    </row>
    <row r="152" spans="1:95" x14ac:dyDescent="0.25">
      <c r="A152" s="80"/>
      <c r="B152" s="12" t="s">
        <v>23</v>
      </c>
      <c r="C152" s="80" t="s">
        <v>85</v>
      </c>
      <c r="D152" s="181"/>
      <c r="E152" s="80"/>
      <c r="F152" s="161"/>
      <c r="G152" s="1"/>
      <c r="H152" s="161"/>
      <c r="I152" s="1"/>
      <c r="J152" s="108"/>
    </row>
    <row r="153" spans="1:95" ht="25.5" x14ac:dyDescent="0.25">
      <c r="A153" s="80"/>
      <c r="B153" s="8" t="s">
        <v>135</v>
      </c>
      <c r="C153" s="80" t="s">
        <v>24</v>
      </c>
      <c r="D153" s="15"/>
      <c r="E153" s="80" t="s">
        <v>69</v>
      </c>
      <c r="F153" s="161">
        <f>$F$8/1.6</f>
        <v>464.375</v>
      </c>
      <c r="G153" s="1">
        <f>D153*F153</f>
        <v>0</v>
      </c>
      <c r="H153" s="161">
        <f>$H$8/1.6</f>
        <v>603.75</v>
      </c>
      <c r="I153" s="1">
        <f>D153*H153</f>
        <v>0</v>
      </c>
      <c r="J153" s="168" t="s">
        <v>423</v>
      </c>
    </row>
    <row r="154" spans="1:95" x14ac:dyDescent="0.25">
      <c r="A154" s="80"/>
      <c r="B154" s="16" t="s">
        <v>134</v>
      </c>
      <c r="C154" s="81" t="s">
        <v>24</v>
      </c>
      <c r="D154" s="17"/>
      <c r="E154" s="81" t="s">
        <v>69</v>
      </c>
      <c r="F154" s="163">
        <f>$F$8/1</f>
        <v>743</v>
      </c>
      <c r="G154" s="10">
        <f>D154*F154</f>
        <v>0</v>
      </c>
      <c r="H154" s="163">
        <f>$H$8/1</f>
        <v>966</v>
      </c>
      <c r="I154" s="10">
        <f>D154*H154</f>
        <v>0</v>
      </c>
      <c r="J154" s="169" t="s">
        <v>184</v>
      </c>
    </row>
    <row r="155" spans="1:95" s="159" customFormat="1" ht="25.5" x14ac:dyDescent="0.25">
      <c r="A155" s="80"/>
      <c r="B155" s="116" t="s">
        <v>209</v>
      </c>
      <c r="C155" s="61">
        <v>4.12</v>
      </c>
      <c r="D155" s="171"/>
      <c r="E155" s="61"/>
      <c r="F155" s="44"/>
      <c r="G155" s="56"/>
      <c r="H155" s="44"/>
      <c r="I155" s="56"/>
      <c r="J155" s="105" t="s">
        <v>321</v>
      </c>
      <c r="K155" s="155"/>
      <c r="L155" s="155"/>
      <c r="M155" s="155"/>
      <c r="N155" s="155"/>
      <c r="O155" s="155"/>
      <c r="P155" s="155"/>
      <c r="Q155" s="155"/>
      <c r="R155" s="155"/>
      <c r="S155" s="155"/>
      <c r="T155" s="155"/>
      <c r="U155" s="155"/>
      <c r="V155" s="155"/>
      <c r="W155" s="155"/>
      <c r="X155" s="155"/>
      <c r="Y155" s="155"/>
      <c r="Z155" s="155"/>
      <c r="AA155" s="155"/>
      <c r="AB155" s="155"/>
      <c r="AC155" s="155"/>
      <c r="AD155" s="155"/>
      <c r="AE155" s="155"/>
      <c r="AF155" s="155"/>
      <c r="AG155" s="155"/>
      <c r="AH155" s="155"/>
      <c r="AI155" s="155"/>
      <c r="AJ155" s="155"/>
      <c r="AK155" s="155"/>
      <c r="AL155" s="155"/>
      <c r="AM155" s="155"/>
      <c r="AN155" s="155"/>
      <c r="AO155" s="155"/>
      <c r="AP155" s="155"/>
      <c r="AQ155" s="155"/>
      <c r="AR155" s="155"/>
      <c r="AS155" s="155"/>
      <c r="AT155" s="155"/>
      <c r="AU155" s="155"/>
      <c r="AV155" s="155"/>
      <c r="AW155" s="155"/>
      <c r="AX155" s="155"/>
      <c r="AY155" s="155"/>
      <c r="AZ155" s="155"/>
      <c r="BA155" s="155"/>
      <c r="BB155" s="155"/>
      <c r="BC155" s="155"/>
      <c r="BD155" s="155"/>
      <c r="BE155" s="155"/>
      <c r="BF155" s="155"/>
      <c r="BG155" s="155"/>
      <c r="BH155" s="155"/>
      <c r="BI155" s="155"/>
      <c r="BJ155" s="155"/>
      <c r="BK155" s="155"/>
      <c r="BL155" s="155"/>
      <c r="BM155" s="155"/>
      <c r="BN155" s="155"/>
      <c r="BO155" s="155"/>
      <c r="BP155" s="155"/>
      <c r="BQ155" s="155"/>
      <c r="BR155" s="155"/>
      <c r="BS155" s="155"/>
      <c r="BT155" s="155"/>
      <c r="BU155" s="155"/>
      <c r="BV155" s="155"/>
      <c r="BW155" s="155"/>
      <c r="BX155" s="155"/>
      <c r="BY155" s="155"/>
      <c r="BZ155" s="155"/>
      <c r="CA155" s="155"/>
      <c r="CB155" s="155"/>
      <c r="CC155" s="155"/>
      <c r="CD155" s="155"/>
      <c r="CE155" s="155"/>
      <c r="CF155" s="155"/>
      <c r="CG155" s="155"/>
      <c r="CH155" s="155"/>
      <c r="CI155" s="155"/>
      <c r="CJ155" s="155"/>
      <c r="CK155" s="155"/>
      <c r="CL155" s="155"/>
      <c r="CM155" s="155"/>
      <c r="CN155" s="155"/>
      <c r="CO155" s="155"/>
      <c r="CP155" s="155"/>
      <c r="CQ155" s="155"/>
    </row>
    <row r="156" spans="1:95" s="155" customFormat="1" x14ac:dyDescent="0.25">
      <c r="A156" s="80"/>
      <c r="B156" s="77" t="s">
        <v>117</v>
      </c>
      <c r="C156" s="64">
        <v>4.12</v>
      </c>
      <c r="D156" s="172"/>
      <c r="E156" s="64" t="s">
        <v>69</v>
      </c>
      <c r="F156" s="47">
        <f>$F$8*1.75</f>
        <v>1300.25</v>
      </c>
      <c r="G156" s="58">
        <f>D156*F156</f>
        <v>0</v>
      </c>
      <c r="H156" s="47">
        <f>$H$8*2.75</f>
        <v>2656.5</v>
      </c>
      <c r="I156" s="58">
        <f>D156*H156</f>
        <v>0</v>
      </c>
      <c r="J156" s="165" t="s">
        <v>322</v>
      </c>
    </row>
    <row r="157" spans="1:95" s="155" customFormat="1" x14ac:dyDescent="0.25">
      <c r="A157" s="80"/>
      <c r="B157" s="77" t="s">
        <v>149</v>
      </c>
      <c r="C157" s="64">
        <v>4.12</v>
      </c>
      <c r="D157" s="172"/>
      <c r="E157" s="64" t="s">
        <v>69</v>
      </c>
      <c r="F157" s="47">
        <f>$F$8*3</f>
        <v>2229</v>
      </c>
      <c r="G157" s="58">
        <f t="shared" ref="G157" si="21">D157*F157</f>
        <v>0</v>
      </c>
      <c r="H157" s="47">
        <f>$H$8*4.75</f>
        <v>4588.5</v>
      </c>
      <c r="I157" s="58">
        <f t="shared" ref="I157" si="22">D157*H157</f>
        <v>0</v>
      </c>
      <c r="J157" s="165" t="s">
        <v>323</v>
      </c>
    </row>
    <row r="158" spans="1:95" s="155" customFormat="1" x14ac:dyDescent="0.25">
      <c r="A158" s="80"/>
      <c r="B158" s="221" t="s">
        <v>210</v>
      </c>
      <c r="C158" s="64">
        <v>4.13</v>
      </c>
      <c r="D158" s="172"/>
      <c r="E158" s="64"/>
      <c r="F158" s="47"/>
      <c r="G158" s="58"/>
      <c r="H158" s="47"/>
      <c r="I158" s="58"/>
      <c r="J158" s="100" t="s">
        <v>320</v>
      </c>
    </row>
    <row r="159" spans="1:95" s="155" customFormat="1" ht="25.5" x14ac:dyDescent="0.25">
      <c r="A159" s="80"/>
      <c r="B159" s="77" t="s">
        <v>117</v>
      </c>
      <c r="C159" s="64">
        <v>4.13</v>
      </c>
      <c r="D159" s="172"/>
      <c r="E159" s="64" t="s">
        <v>60</v>
      </c>
      <c r="F159" s="47">
        <f>$F$8/7</f>
        <v>106.14285714285714</v>
      </c>
      <c r="G159" s="58">
        <f>D159*F159</f>
        <v>0</v>
      </c>
      <c r="H159" s="47">
        <f>$H$8/7</f>
        <v>138</v>
      </c>
      <c r="I159" s="58">
        <f>D159*H159</f>
        <v>0</v>
      </c>
      <c r="J159" s="165" t="s">
        <v>358</v>
      </c>
    </row>
    <row r="160" spans="1:95" s="164" customFormat="1" ht="25.5" x14ac:dyDescent="0.25">
      <c r="A160" s="80"/>
      <c r="B160" s="90" t="s">
        <v>149</v>
      </c>
      <c r="C160" s="66">
        <v>4.13</v>
      </c>
      <c r="D160" s="222"/>
      <c r="E160" s="66" t="s">
        <v>60</v>
      </c>
      <c r="F160" s="47">
        <f>$F$8/4</f>
        <v>185.75</v>
      </c>
      <c r="G160" s="58">
        <f t="shared" ref="G160" si="23">D160*F160</f>
        <v>0</v>
      </c>
      <c r="H160" s="50">
        <f>$H$8/4</f>
        <v>241.5</v>
      </c>
      <c r="I160" s="58">
        <f t="shared" ref="I160" si="24">D160*H160</f>
        <v>0</v>
      </c>
      <c r="J160" s="165" t="s">
        <v>357</v>
      </c>
      <c r="K160" s="155"/>
      <c r="L160" s="155"/>
      <c r="M160" s="155"/>
      <c r="N160" s="155"/>
      <c r="O160" s="155"/>
      <c r="P160" s="155"/>
      <c r="Q160" s="155"/>
      <c r="R160" s="155"/>
      <c r="S160" s="155"/>
      <c r="T160" s="155"/>
      <c r="U160" s="155"/>
      <c r="V160" s="155"/>
      <c r="W160" s="155"/>
      <c r="X160" s="155"/>
      <c r="Y160" s="155"/>
      <c r="Z160" s="155"/>
      <c r="AA160" s="155"/>
      <c r="AB160" s="155"/>
      <c r="AC160" s="155"/>
      <c r="AD160" s="155"/>
      <c r="AE160" s="155"/>
      <c r="AF160" s="155"/>
      <c r="AG160" s="155"/>
      <c r="AH160" s="155"/>
      <c r="AI160" s="155"/>
      <c r="AJ160" s="155"/>
      <c r="AK160" s="155"/>
      <c r="AL160" s="155"/>
      <c r="AM160" s="155"/>
      <c r="AN160" s="155"/>
      <c r="AO160" s="155"/>
      <c r="AP160" s="155"/>
      <c r="AQ160" s="155"/>
      <c r="AR160" s="155"/>
      <c r="AS160" s="155"/>
      <c r="AT160" s="155"/>
      <c r="AU160" s="155"/>
      <c r="AV160" s="155"/>
      <c r="AW160" s="155"/>
      <c r="AX160" s="155"/>
      <c r="AY160" s="155"/>
      <c r="AZ160" s="155"/>
      <c r="BA160" s="155"/>
      <c r="BB160" s="155"/>
      <c r="BC160" s="155"/>
      <c r="BD160" s="155"/>
      <c r="BE160" s="155"/>
      <c r="BF160" s="155"/>
      <c r="BG160" s="155"/>
      <c r="BH160" s="155"/>
      <c r="BI160" s="155"/>
      <c r="BJ160" s="155"/>
      <c r="BK160" s="155"/>
      <c r="BL160" s="155"/>
      <c r="BM160" s="155"/>
      <c r="BN160" s="155"/>
      <c r="BO160" s="155"/>
      <c r="BP160" s="155"/>
      <c r="BQ160" s="155"/>
      <c r="BR160" s="155"/>
      <c r="BS160" s="155"/>
      <c r="BT160" s="155"/>
      <c r="BU160" s="155"/>
      <c r="BV160" s="155"/>
      <c r="BW160" s="155"/>
      <c r="BX160" s="155"/>
      <c r="BY160" s="155"/>
      <c r="BZ160" s="155"/>
      <c r="CA160" s="155"/>
      <c r="CB160" s="155"/>
      <c r="CC160" s="155"/>
      <c r="CD160" s="155"/>
      <c r="CE160" s="155"/>
      <c r="CF160" s="155"/>
      <c r="CG160" s="155"/>
      <c r="CH160" s="155"/>
      <c r="CI160" s="155"/>
      <c r="CJ160" s="155"/>
      <c r="CK160" s="155"/>
      <c r="CL160" s="155"/>
      <c r="CM160" s="155"/>
      <c r="CN160" s="155"/>
      <c r="CO160" s="155"/>
      <c r="CP160" s="155"/>
      <c r="CQ160" s="155"/>
    </row>
    <row r="161" spans="1:95" s="186" customFormat="1" ht="25.5" x14ac:dyDescent="0.25">
      <c r="A161" s="80"/>
      <c r="B161" s="157" t="s">
        <v>229</v>
      </c>
      <c r="C161" s="5">
        <v>4.17</v>
      </c>
      <c r="D161" s="79"/>
      <c r="E161" s="5"/>
      <c r="F161" s="7"/>
      <c r="G161" s="158"/>
      <c r="H161" s="7"/>
      <c r="I161" s="158"/>
      <c r="J161" s="177" t="s">
        <v>324</v>
      </c>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row>
    <row r="162" spans="1:95" s="187" customFormat="1" x14ac:dyDescent="0.25">
      <c r="A162" s="2"/>
      <c r="B162" s="26" t="s">
        <v>230</v>
      </c>
      <c r="C162" s="17">
        <v>1.1299999999999999</v>
      </c>
      <c r="D162" s="3"/>
      <c r="E162" s="17" t="s">
        <v>60</v>
      </c>
      <c r="F162" s="10">
        <v>20</v>
      </c>
      <c r="G162" s="163">
        <f>IF(D162=0,0,IF(D162*F162&lt;400,400,D162*F162))</f>
        <v>0</v>
      </c>
      <c r="H162" s="10">
        <v>20</v>
      </c>
      <c r="I162" s="163">
        <f>IF(D162=0,0,IF(D162*H162&lt;400,400,D162*H162))</f>
        <v>0</v>
      </c>
      <c r="J162" s="154"/>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c r="BK162" s="185"/>
      <c r="BL162" s="185"/>
      <c r="BM162" s="185"/>
      <c r="BN162" s="185"/>
      <c r="BO162" s="185"/>
      <c r="BP162" s="185"/>
      <c r="BQ162" s="185"/>
      <c r="BR162" s="185"/>
      <c r="BS162" s="185"/>
      <c r="BT162" s="185"/>
      <c r="BU162" s="185"/>
      <c r="BV162" s="185"/>
      <c r="BW162" s="185"/>
      <c r="BX162" s="185"/>
      <c r="BY162" s="185"/>
      <c r="BZ162" s="185"/>
      <c r="CA162" s="185"/>
      <c r="CB162" s="185"/>
      <c r="CC162" s="185"/>
      <c r="CD162" s="185"/>
      <c r="CE162" s="185"/>
      <c r="CF162" s="185"/>
      <c r="CG162" s="185"/>
      <c r="CH162" s="185"/>
      <c r="CI162" s="185"/>
      <c r="CJ162" s="185"/>
      <c r="CK162" s="185"/>
      <c r="CL162" s="185"/>
      <c r="CM162" s="185"/>
      <c r="CN162" s="185"/>
      <c r="CO162" s="185"/>
      <c r="CP162" s="185"/>
      <c r="CQ162" s="185"/>
    </row>
    <row r="163" spans="1:95" ht="63.75" x14ac:dyDescent="0.25">
      <c r="A163" s="80"/>
      <c r="B163" s="26" t="s">
        <v>120</v>
      </c>
      <c r="C163" s="17"/>
      <c r="D163" s="223"/>
      <c r="E163" s="17" t="s">
        <v>137</v>
      </c>
      <c r="F163" s="10">
        <v>3.5</v>
      </c>
      <c r="G163" s="163">
        <f>D163*F163</f>
        <v>0</v>
      </c>
      <c r="H163" s="10">
        <v>3.5</v>
      </c>
      <c r="I163" s="163">
        <f>D163*H163</f>
        <v>0</v>
      </c>
      <c r="J163" s="154" t="s">
        <v>347</v>
      </c>
    </row>
    <row r="164" spans="1:95" s="185" customFormat="1" x14ac:dyDescent="0.25">
      <c r="A164" s="3"/>
      <c r="B164" s="119" t="s">
        <v>313</v>
      </c>
      <c r="C164" s="188"/>
      <c r="D164" s="22"/>
      <c r="E164" s="22"/>
      <c r="F164" s="25"/>
      <c r="G164" s="32">
        <f>SUM(G109:G163)</f>
        <v>0</v>
      </c>
      <c r="H164" s="25"/>
      <c r="I164" s="32">
        <f>SUM(I109:I163)</f>
        <v>0</v>
      </c>
      <c r="J164" s="120"/>
    </row>
    <row r="165" spans="1:95" s="230" customFormat="1" x14ac:dyDescent="0.25">
      <c r="A165" s="224"/>
      <c r="B165" s="225"/>
      <c r="C165" s="226"/>
      <c r="D165" s="227"/>
      <c r="E165" s="226"/>
      <c r="F165" s="228"/>
      <c r="G165" s="229"/>
      <c r="H165" s="87"/>
      <c r="I165" s="229"/>
      <c r="J165" s="109"/>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204"/>
      <c r="CF165" s="204"/>
      <c r="CG165" s="204"/>
      <c r="CH165" s="204"/>
      <c r="CI165" s="204"/>
      <c r="CJ165" s="204"/>
      <c r="CK165" s="204"/>
      <c r="CL165" s="204"/>
      <c r="CM165" s="204"/>
      <c r="CN165" s="204"/>
      <c r="CO165" s="204"/>
      <c r="CP165" s="204"/>
      <c r="CQ165" s="204"/>
    </row>
    <row r="166" spans="1:95" s="155" customFormat="1" ht="25.5" x14ac:dyDescent="0.25">
      <c r="A166" s="190">
        <v>4</v>
      </c>
      <c r="B166" s="231" t="s">
        <v>86</v>
      </c>
      <c r="C166" s="15"/>
      <c r="D166" s="232"/>
      <c r="E166" s="15"/>
      <c r="F166" s="1"/>
      <c r="G166" s="161"/>
      <c r="H166" s="1"/>
      <c r="I166" s="161"/>
      <c r="J166" s="168" t="s">
        <v>339</v>
      </c>
    </row>
    <row r="167" spans="1:95" s="156" customFormat="1" ht="25.5" x14ac:dyDescent="0.25">
      <c r="A167" s="80"/>
      <c r="B167" s="35" t="s">
        <v>11</v>
      </c>
      <c r="C167" s="114">
        <v>7.1</v>
      </c>
      <c r="D167" s="22"/>
      <c r="E167" s="114" t="s">
        <v>12</v>
      </c>
      <c r="F167" s="25">
        <f>$F$8</f>
        <v>743</v>
      </c>
      <c r="G167" s="115">
        <f>$D$109*F167</f>
        <v>0</v>
      </c>
      <c r="H167" s="25">
        <v>966</v>
      </c>
      <c r="I167" s="115">
        <f>D167*H167</f>
        <v>0</v>
      </c>
      <c r="J167" s="120" t="s">
        <v>174</v>
      </c>
      <c r="K167" s="155"/>
      <c r="L167" s="155"/>
      <c r="M167" s="155"/>
      <c r="N167" s="155"/>
      <c r="O167" s="155"/>
      <c r="P167" s="155"/>
      <c r="Q167" s="155"/>
      <c r="R167" s="155"/>
      <c r="S167" s="155"/>
      <c r="T167" s="155"/>
      <c r="U167" s="155"/>
      <c r="V167" s="155"/>
      <c r="W167" s="155"/>
      <c r="X167" s="155"/>
      <c r="Y167" s="155"/>
      <c r="Z167" s="155"/>
      <c r="AA167" s="155"/>
      <c r="AB167" s="155"/>
      <c r="AC167" s="155"/>
      <c r="AD167" s="155"/>
      <c r="AE167" s="155"/>
      <c r="AF167" s="155"/>
      <c r="AG167" s="155"/>
      <c r="AH167" s="155"/>
      <c r="AI167" s="155"/>
      <c r="AJ167" s="155"/>
      <c r="AK167" s="155"/>
      <c r="AL167" s="155"/>
      <c r="AM167" s="155"/>
      <c r="AN167" s="155"/>
      <c r="AO167" s="155"/>
      <c r="AP167" s="155"/>
      <c r="AQ167" s="155"/>
      <c r="AR167" s="155"/>
      <c r="AS167" s="155"/>
      <c r="AT167" s="155"/>
      <c r="AU167" s="155"/>
      <c r="AV167" s="155"/>
      <c r="AW167" s="155"/>
      <c r="AX167" s="155"/>
      <c r="AY167" s="155"/>
      <c r="AZ167" s="155"/>
      <c r="BA167" s="155"/>
      <c r="BB167" s="155"/>
      <c r="BC167" s="155"/>
      <c r="BD167" s="155"/>
      <c r="BE167" s="155"/>
      <c r="BF167" s="155"/>
      <c r="BG167" s="155"/>
      <c r="BH167" s="155"/>
      <c r="BI167" s="155"/>
      <c r="BJ167" s="155"/>
      <c r="BK167" s="155"/>
      <c r="BL167" s="155"/>
      <c r="BM167" s="155"/>
      <c r="BN167" s="155"/>
      <c r="BO167" s="155"/>
      <c r="BP167" s="155"/>
      <c r="BQ167" s="155"/>
      <c r="BR167" s="155"/>
      <c r="BS167" s="155"/>
      <c r="BT167" s="155"/>
      <c r="BU167" s="155"/>
      <c r="BV167" s="155"/>
      <c r="BW167" s="155"/>
      <c r="BX167" s="155"/>
      <c r="BY167" s="155"/>
      <c r="BZ167" s="155"/>
      <c r="CA167" s="155"/>
      <c r="CB167" s="155"/>
      <c r="CC167" s="155"/>
      <c r="CD167" s="155"/>
      <c r="CE167" s="155"/>
      <c r="CF167" s="155"/>
      <c r="CG167" s="155"/>
      <c r="CH167" s="155"/>
      <c r="CI167" s="155"/>
      <c r="CJ167" s="155"/>
      <c r="CK167" s="155"/>
      <c r="CL167" s="155"/>
      <c r="CM167" s="155"/>
      <c r="CN167" s="155"/>
      <c r="CO167" s="155"/>
      <c r="CP167" s="155"/>
      <c r="CQ167" s="155"/>
    </row>
    <row r="168" spans="1:95" s="159" customFormat="1" ht="76.5" x14ac:dyDescent="0.25">
      <c r="A168" s="80"/>
      <c r="B168" s="157" t="s">
        <v>13</v>
      </c>
      <c r="C168" s="5">
        <v>7.2</v>
      </c>
      <c r="D168" s="79"/>
      <c r="E168" s="5"/>
      <c r="F168" s="7"/>
      <c r="G168" s="158"/>
      <c r="H168" s="7"/>
      <c r="I168" s="158"/>
      <c r="J168" s="99" t="s">
        <v>348</v>
      </c>
      <c r="K168" s="155"/>
      <c r="L168" s="155"/>
      <c r="M168" s="155"/>
      <c r="N168" s="155"/>
      <c r="O168" s="155"/>
      <c r="P168" s="155"/>
      <c r="Q168" s="155"/>
      <c r="R168" s="155"/>
      <c r="S168" s="155"/>
      <c r="T168" s="155"/>
      <c r="U168" s="155"/>
      <c r="V168" s="155"/>
      <c r="W168" s="155"/>
      <c r="X168" s="155"/>
      <c r="Y168" s="155"/>
      <c r="Z168" s="155"/>
      <c r="AA168" s="155"/>
      <c r="AB168" s="155"/>
      <c r="AC168" s="155"/>
      <c r="AD168" s="155"/>
      <c r="AE168" s="155"/>
      <c r="AF168" s="155"/>
      <c r="AG168" s="155"/>
      <c r="AH168" s="155"/>
      <c r="AI168" s="155"/>
      <c r="AJ168" s="155"/>
      <c r="AK168" s="155"/>
      <c r="AL168" s="155"/>
      <c r="AM168" s="155"/>
      <c r="AN168" s="155"/>
      <c r="AO168" s="155"/>
      <c r="AP168" s="155"/>
      <c r="AQ168" s="155"/>
      <c r="AR168" s="155"/>
      <c r="AS168" s="155"/>
      <c r="AT168" s="155"/>
      <c r="AU168" s="155"/>
      <c r="AV168" s="155"/>
      <c r="AW168" s="155"/>
      <c r="AX168" s="155"/>
      <c r="AY168" s="155"/>
      <c r="AZ168" s="155"/>
      <c r="BA168" s="155"/>
      <c r="BB168" s="155"/>
      <c r="BC168" s="155"/>
      <c r="BD168" s="155"/>
      <c r="BE168" s="155"/>
      <c r="BF168" s="155"/>
      <c r="BG168" s="155"/>
      <c r="BH168" s="155"/>
      <c r="BI168" s="155"/>
      <c r="BJ168" s="155"/>
      <c r="BK168" s="155"/>
      <c r="BL168" s="155"/>
      <c r="BM168" s="155"/>
      <c r="BN168" s="155"/>
      <c r="BO168" s="155"/>
      <c r="BP168" s="155"/>
      <c r="BQ168" s="155"/>
      <c r="BR168" s="155"/>
      <c r="BS168" s="155"/>
      <c r="BT168" s="155"/>
      <c r="BU168" s="155"/>
      <c r="BV168" s="155"/>
      <c r="BW168" s="155"/>
      <c r="BX168" s="155"/>
      <c r="BY168" s="155"/>
      <c r="BZ168" s="155"/>
      <c r="CA168" s="155"/>
      <c r="CB168" s="155"/>
      <c r="CC168" s="155"/>
      <c r="CD168" s="155"/>
      <c r="CE168" s="155"/>
      <c r="CF168" s="155"/>
      <c r="CG168" s="155"/>
      <c r="CH168" s="155"/>
      <c r="CI168" s="155"/>
      <c r="CJ168" s="155"/>
      <c r="CK168" s="155"/>
      <c r="CL168" s="155"/>
      <c r="CM168" s="155"/>
      <c r="CN168" s="155"/>
      <c r="CO168" s="155"/>
      <c r="CP168" s="155"/>
      <c r="CQ168" s="155"/>
    </row>
    <row r="169" spans="1:95" s="155" customFormat="1" x14ac:dyDescent="0.25">
      <c r="A169" s="80"/>
      <c r="B169" s="160" t="s">
        <v>14</v>
      </c>
      <c r="C169" s="15">
        <v>1.3</v>
      </c>
      <c r="D169" s="80"/>
      <c r="E169" s="15" t="s">
        <v>12</v>
      </c>
      <c r="F169" s="1">
        <f>$F$8</f>
        <v>743</v>
      </c>
      <c r="G169" s="161">
        <f>D169*F169</f>
        <v>0</v>
      </c>
      <c r="H169" s="1">
        <f>$H$8</f>
        <v>966</v>
      </c>
      <c r="I169" s="161">
        <f t="shared" ref="I169:I177" si="25">D169*H169</f>
        <v>0</v>
      </c>
      <c r="J169" s="100"/>
    </row>
    <row r="170" spans="1:95" s="155" customFormat="1" x14ac:dyDescent="0.25">
      <c r="A170" s="80"/>
      <c r="B170" s="160" t="s">
        <v>35</v>
      </c>
      <c r="C170" s="15">
        <v>1.3</v>
      </c>
      <c r="D170" s="80"/>
      <c r="E170" s="15" t="s">
        <v>12</v>
      </c>
      <c r="F170" s="1">
        <f>$F$8*2</f>
        <v>1486</v>
      </c>
      <c r="G170" s="161">
        <f t="shared" ref="G170:G171" si="26">D170*F170</f>
        <v>0</v>
      </c>
      <c r="H170" s="1">
        <f>$H$8*2</f>
        <v>1932</v>
      </c>
      <c r="I170" s="161">
        <f t="shared" si="25"/>
        <v>0</v>
      </c>
      <c r="J170" s="100"/>
    </row>
    <row r="171" spans="1:95" s="164" customFormat="1" x14ac:dyDescent="0.25">
      <c r="A171" s="80"/>
      <c r="B171" s="162" t="s">
        <v>111</v>
      </c>
      <c r="C171" s="17">
        <v>1.3</v>
      </c>
      <c r="D171" s="81"/>
      <c r="E171" s="17" t="s">
        <v>12</v>
      </c>
      <c r="F171" s="10">
        <f>$F$8*3</f>
        <v>2229</v>
      </c>
      <c r="G171" s="163">
        <f t="shared" si="26"/>
        <v>0</v>
      </c>
      <c r="H171" s="10">
        <f>$H$8*3</f>
        <v>2898</v>
      </c>
      <c r="I171" s="163">
        <f t="shared" si="25"/>
        <v>0</v>
      </c>
      <c r="J171" s="101"/>
      <c r="K171" s="155"/>
      <c r="L171" s="155"/>
      <c r="M171" s="155"/>
      <c r="N171" s="155"/>
      <c r="O171" s="155"/>
      <c r="P171" s="155"/>
      <c r="Q171" s="155"/>
      <c r="R171" s="155"/>
      <c r="S171" s="155"/>
      <c r="T171" s="155"/>
      <c r="U171" s="155"/>
      <c r="V171" s="155"/>
      <c r="W171" s="155"/>
      <c r="X171" s="155"/>
      <c r="Y171" s="155"/>
      <c r="Z171" s="155"/>
      <c r="AA171" s="155"/>
      <c r="AB171" s="155"/>
      <c r="AC171" s="155"/>
      <c r="AD171" s="155"/>
      <c r="AE171" s="155"/>
      <c r="AF171" s="155"/>
      <c r="AG171" s="155"/>
      <c r="AH171" s="155"/>
      <c r="AI171" s="155"/>
      <c r="AJ171" s="155"/>
      <c r="AK171" s="155"/>
      <c r="AL171" s="155"/>
      <c r="AM171" s="155"/>
      <c r="AN171" s="155"/>
      <c r="AO171" s="155"/>
      <c r="AP171" s="155"/>
      <c r="AQ171" s="155"/>
      <c r="AR171" s="155"/>
      <c r="AS171" s="155"/>
      <c r="AT171" s="155"/>
      <c r="AU171" s="155"/>
      <c r="AV171" s="155"/>
      <c r="AW171" s="155"/>
      <c r="AX171" s="155"/>
      <c r="AY171" s="155"/>
      <c r="AZ171" s="155"/>
      <c r="BA171" s="155"/>
      <c r="BB171" s="155"/>
      <c r="BC171" s="155"/>
      <c r="BD171" s="155"/>
      <c r="BE171" s="155"/>
      <c r="BF171" s="155"/>
      <c r="BG171" s="155"/>
      <c r="BH171" s="155"/>
      <c r="BI171" s="155"/>
      <c r="BJ171" s="155"/>
      <c r="BK171" s="155"/>
      <c r="BL171" s="155"/>
      <c r="BM171" s="155"/>
      <c r="BN171" s="155"/>
      <c r="BO171" s="155"/>
      <c r="BP171" s="155"/>
      <c r="BQ171" s="155"/>
      <c r="BR171" s="155"/>
      <c r="BS171" s="155"/>
      <c r="BT171" s="155"/>
      <c r="BU171" s="155"/>
      <c r="BV171" s="155"/>
      <c r="BW171" s="155"/>
      <c r="BX171" s="155"/>
      <c r="BY171" s="155"/>
      <c r="BZ171" s="155"/>
      <c r="CA171" s="155"/>
      <c r="CB171" s="155"/>
      <c r="CC171" s="155"/>
      <c r="CD171" s="155"/>
      <c r="CE171" s="155"/>
      <c r="CF171" s="155"/>
      <c r="CG171" s="155"/>
      <c r="CH171" s="155"/>
      <c r="CI171" s="155"/>
      <c r="CJ171" s="155"/>
      <c r="CK171" s="155"/>
      <c r="CL171" s="155"/>
      <c r="CM171" s="155"/>
      <c r="CN171" s="155"/>
      <c r="CO171" s="155"/>
      <c r="CP171" s="155"/>
      <c r="CQ171" s="155"/>
    </row>
    <row r="172" spans="1:95" s="159" customFormat="1" ht="127.5" x14ac:dyDescent="0.25">
      <c r="A172" s="80"/>
      <c r="B172" s="170" t="s">
        <v>21</v>
      </c>
      <c r="C172" s="61">
        <v>7.3</v>
      </c>
      <c r="D172" s="53"/>
      <c r="E172" s="63"/>
      <c r="F172" s="54"/>
      <c r="G172" s="56"/>
      <c r="H172" s="54"/>
      <c r="I172" s="56"/>
      <c r="J172" s="99" t="s">
        <v>386</v>
      </c>
      <c r="K172" s="464" t="s">
        <v>399</v>
      </c>
      <c r="L172" s="46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5"/>
      <c r="AU172" s="155"/>
      <c r="AV172" s="155"/>
      <c r="AW172" s="155"/>
      <c r="AX172" s="155"/>
      <c r="AY172" s="155"/>
      <c r="AZ172" s="155"/>
      <c r="BA172" s="155"/>
      <c r="BB172" s="155"/>
      <c r="BC172" s="155"/>
      <c r="BD172" s="155"/>
      <c r="BE172" s="155"/>
      <c r="BF172" s="155"/>
      <c r="BG172" s="155"/>
      <c r="BH172" s="155"/>
      <c r="BI172" s="155"/>
      <c r="BJ172" s="155"/>
      <c r="BK172" s="155"/>
      <c r="BL172" s="155"/>
      <c r="BM172" s="155"/>
      <c r="BN172" s="155"/>
      <c r="BO172" s="155"/>
      <c r="BP172" s="155"/>
      <c r="BQ172" s="155"/>
      <c r="BR172" s="155"/>
      <c r="BS172" s="155"/>
      <c r="BT172" s="155"/>
      <c r="BU172" s="155"/>
      <c r="BV172" s="155"/>
      <c r="BW172" s="155"/>
      <c r="BX172" s="155"/>
      <c r="BY172" s="155"/>
      <c r="BZ172" s="155"/>
      <c r="CA172" s="155"/>
      <c r="CB172" s="155"/>
      <c r="CC172" s="155"/>
      <c r="CD172" s="155"/>
      <c r="CE172" s="155"/>
      <c r="CF172" s="155"/>
      <c r="CG172" s="155"/>
      <c r="CH172" s="155"/>
      <c r="CI172" s="155"/>
      <c r="CJ172" s="155"/>
      <c r="CK172" s="155"/>
      <c r="CL172" s="155"/>
      <c r="CM172" s="155"/>
      <c r="CN172" s="155"/>
      <c r="CO172" s="155"/>
      <c r="CP172" s="155"/>
      <c r="CQ172" s="155"/>
    </row>
    <row r="173" spans="1:95" s="155" customFormat="1" ht="25.5" x14ac:dyDescent="0.25">
      <c r="A173" s="80"/>
      <c r="B173" s="77" t="s">
        <v>132</v>
      </c>
      <c r="C173" s="64" t="s">
        <v>22</v>
      </c>
      <c r="D173" s="46"/>
      <c r="E173" s="64" t="s">
        <v>69</v>
      </c>
      <c r="F173" s="47">
        <f>2*1000</f>
        <v>2000</v>
      </c>
      <c r="G173" s="58">
        <f>D173*F173</f>
        <v>0</v>
      </c>
      <c r="H173" s="47">
        <f>2.6*1000</f>
        <v>2600</v>
      </c>
      <c r="I173" s="58">
        <f t="shared" si="25"/>
        <v>0</v>
      </c>
      <c r="J173" s="165" t="s">
        <v>182</v>
      </c>
    </row>
    <row r="174" spans="1:95" s="164" customFormat="1" ht="12.75" customHeight="1" x14ac:dyDescent="0.25">
      <c r="A174" s="80"/>
      <c r="B174" s="90" t="s">
        <v>133</v>
      </c>
      <c r="C174" s="66" t="s">
        <v>22</v>
      </c>
      <c r="D174" s="49"/>
      <c r="E174" s="66" t="s">
        <v>69</v>
      </c>
      <c r="F174" s="50">
        <f>2.5*1000</f>
        <v>2500</v>
      </c>
      <c r="G174" s="60">
        <f>D174*F174</f>
        <v>0</v>
      </c>
      <c r="H174" s="50">
        <f>3.25*1000</f>
        <v>3250</v>
      </c>
      <c r="I174" s="60">
        <f t="shared" si="25"/>
        <v>0</v>
      </c>
      <c r="J174" s="102" t="s">
        <v>183</v>
      </c>
      <c r="K174" s="155"/>
      <c r="L174" s="155"/>
      <c r="M174" s="155"/>
      <c r="N174" s="155"/>
      <c r="O174" s="155"/>
      <c r="P174" s="155"/>
      <c r="Q174" s="155"/>
      <c r="R174" s="155"/>
      <c r="S174" s="155"/>
      <c r="T174" s="155"/>
      <c r="U174" s="155"/>
      <c r="V174" s="155"/>
      <c r="W174" s="155"/>
      <c r="X174" s="155"/>
      <c r="Y174" s="155"/>
      <c r="Z174" s="155"/>
      <c r="AA174" s="155"/>
      <c r="AB174" s="155"/>
      <c r="AC174" s="155"/>
      <c r="AD174" s="155"/>
      <c r="AE174" s="155"/>
      <c r="AF174" s="155"/>
      <c r="AG174" s="155"/>
      <c r="AH174" s="155"/>
      <c r="AI174" s="155"/>
      <c r="AJ174" s="155"/>
      <c r="AK174" s="155"/>
      <c r="AL174" s="155"/>
      <c r="AM174" s="155"/>
      <c r="AN174" s="155"/>
      <c r="AO174" s="155"/>
      <c r="AP174" s="155"/>
      <c r="AQ174" s="155"/>
      <c r="AR174" s="155"/>
      <c r="AS174" s="155"/>
      <c r="AT174" s="155"/>
      <c r="AU174" s="155"/>
      <c r="AV174" s="155"/>
      <c r="AW174" s="155"/>
      <c r="AX174" s="155"/>
      <c r="AY174" s="155"/>
      <c r="AZ174" s="155"/>
      <c r="BA174" s="155"/>
      <c r="BB174" s="155"/>
      <c r="BC174" s="155"/>
      <c r="BD174" s="155"/>
      <c r="BE174" s="155"/>
      <c r="BF174" s="155"/>
      <c r="BG174" s="155"/>
      <c r="BH174" s="155"/>
      <c r="BI174" s="155"/>
      <c r="BJ174" s="155"/>
      <c r="BK174" s="155"/>
      <c r="BL174" s="155"/>
      <c r="BM174" s="155"/>
      <c r="BN174" s="155"/>
      <c r="BO174" s="155"/>
      <c r="BP174" s="155"/>
      <c r="BQ174" s="155"/>
      <c r="BR174" s="155"/>
      <c r="BS174" s="155"/>
      <c r="BT174" s="155"/>
      <c r="BU174" s="155"/>
      <c r="BV174" s="155"/>
      <c r="BW174" s="155"/>
      <c r="BX174" s="155"/>
      <c r="BY174" s="155"/>
      <c r="BZ174" s="155"/>
      <c r="CA174" s="155"/>
      <c r="CB174" s="155"/>
      <c r="CC174" s="155"/>
      <c r="CD174" s="155"/>
      <c r="CE174" s="155"/>
      <c r="CF174" s="155"/>
      <c r="CG174" s="155"/>
      <c r="CH174" s="155"/>
      <c r="CI174" s="155"/>
      <c r="CJ174" s="155"/>
      <c r="CK174" s="155"/>
      <c r="CL174" s="155"/>
      <c r="CM174" s="155"/>
      <c r="CN174" s="155"/>
      <c r="CO174" s="155"/>
      <c r="CP174" s="155"/>
      <c r="CQ174" s="155"/>
    </row>
    <row r="175" spans="1:95" s="155" customFormat="1" x14ac:dyDescent="0.25">
      <c r="A175" s="80"/>
      <c r="B175" s="157" t="s">
        <v>23</v>
      </c>
      <c r="C175" s="5">
        <v>7.4</v>
      </c>
      <c r="D175" s="166"/>
      <c r="E175" s="5"/>
      <c r="F175" s="7"/>
      <c r="G175" s="158"/>
      <c r="H175" s="7"/>
      <c r="I175" s="158"/>
      <c r="J175" s="167"/>
    </row>
    <row r="176" spans="1:95" s="155" customFormat="1" ht="25.5" x14ac:dyDescent="0.25">
      <c r="A176" s="80"/>
      <c r="B176" s="13" t="s">
        <v>135</v>
      </c>
      <c r="C176" s="15" t="s">
        <v>24</v>
      </c>
      <c r="D176" s="80"/>
      <c r="E176" s="15" t="s">
        <v>69</v>
      </c>
      <c r="F176" s="1">
        <f>$F$8/1.6</f>
        <v>464.375</v>
      </c>
      <c r="G176" s="161">
        <f>D176*F176</f>
        <v>0</v>
      </c>
      <c r="H176" s="1">
        <f>$H$8/1.6</f>
        <v>603.75</v>
      </c>
      <c r="I176" s="161">
        <f t="shared" si="25"/>
        <v>0</v>
      </c>
      <c r="J176" s="168" t="s">
        <v>425</v>
      </c>
    </row>
    <row r="177" spans="1:95" s="155" customFormat="1" x14ac:dyDescent="0.25">
      <c r="A177" s="80"/>
      <c r="B177" s="13" t="s">
        <v>134</v>
      </c>
      <c r="C177" s="15" t="s">
        <v>24</v>
      </c>
      <c r="D177" s="80"/>
      <c r="E177" s="15" t="s">
        <v>69</v>
      </c>
      <c r="F177" s="1">
        <f>$F$8/1</f>
        <v>743</v>
      </c>
      <c r="G177" s="161">
        <f>D177*F177</f>
        <v>0</v>
      </c>
      <c r="H177" s="1">
        <f>$H$8/1</f>
        <v>966</v>
      </c>
      <c r="I177" s="161">
        <f t="shared" si="25"/>
        <v>0</v>
      </c>
      <c r="J177" s="169" t="s">
        <v>184</v>
      </c>
    </row>
    <row r="178" spans="1:95" s="159" customFormat="1" x14ac:dyDescent="0.25">
      <c r="A178" s="80"/>
      <c r="B178" s="170" t="s">
        <v>232</v>
      </c>
      <c r="C178" s="61">
        <v>7.5</v>
      </c>
      <c r="D178" s="171"/>
      <c r="E178" s="61"/>
      <c r="F178" s="44"/>
      <c r="G178" s="56"/>
      <c r="H178" s="44"/>
      <c r="I178" s="56"/>
      <c r="J178" s="105"/>
      <c r="K178" s="155"/>
      <c r="L178" s="155"/>
      <c r="M178" s="155"/>
      <c r="N178" s="155"/>
      <c r="O178" s="155"/>
      <c r="P178" s="155"/>
      <c r="Q178" s="155"/>
      <c r="R178" s="155"/>
      <c r="S178" s="155"/>
      <c r="T178" s="155"/>
      <c r="U178" s="155"/>
      <c r="V178" s="155"/>
      <c r="W178" s="155"/>
      <c r="X178" s="155"/>
      <c r="Y178" s="155"/>
      <c r="Z178" s="155"/>
      <c r="AA178" s="155"/>
      <c r="AB178" s="155"/>
      <c r="AC178" s="155"/>
      <c r="AD178" s="155"/>
      <c r="AE178" s="155"/>
      <c r="AF178" s="155"/>
      <c r="AG178" s="155"/>
      <c r="AH178" s="155"/>
      <c r="AI178" s="155"/>
      <c r="AJ178" s="155"/>
      <c r="AK178" s="155"/>
      <c r="AL178" s="155"/>
      <c r="AM178" s="155"/>
      <c r="AN178" s="155"/>
      <c r="AO178" s="155"/>
      <c r="AP178" s="155"/>
      <c r="AQ178" s="155"/>
      <c r="AR178" s="155"/>
      <c r="AS178" s="155"/>
      <c r="AT178" s="155"/>
      <c r="AU178" s="155"/>
      <c r="AV178" s="155"/>
      <c r="AW178" s="155"/>
      <c r="AX178" s="155"/>
      <c r="AY178" s="155"/>
      <c r="AZ178" s="155"/>
      <c r="BA178" s="155"/>
      <c r="BB178" s="155"/>
      <c r="BC178" s="155"/>
      <c r="BD178" s="155"/>
      <c r="BE178" s="155"/>
      <c r="BF178" s="155"/>
      <c r="BG178" s="155"/>
      <c r="BH178" s="155"/>
      <c r="BI178" s="155"/>
      <c r="BJ178" s="155"/>
      <c r="BK178" s="155"/>
      <c r="BL178" s="155"/>
      <c r="BM178" s="155"/>
      <c r="BN178" s="155"/>
      <c r="BO178" s="155"/>
      <c r="BP178" s="155"/>
      <c r="BQ178" s="155"/>
      <c r="BR178" s="155"/>
      <c r="BS178" s="155"/>
      <c r="BT178" s="155"/>
      <c r="BU178" s="155"/>
      <c r="BV178" s="155"/>
      <c r="BW178" s="155"/>
      <c r="BX178" s="155"/>
      <c r="BY178" s="155"/>
      <c r="BZ178" s="155"/>
      <c r="CA178" s="155"/>
      <c r="CB178" s="155"/>
      <c r="CC178" s="155"/>
      <c r="CD178" s="155"/>
      <c r="CE178" s="155"/>
      <c r="CF178" s="155"/>
      <c r="CG178" s="155"/>
      <c r="CH178" s="155"/>
      <c r="CI178" s="155"/>
      <c r="CJ178" s="155"/>
      <c r="CK178" s="155"/>
      <c r="CL178" s="155"/>
      <c r="CM178" s="155"/>
      <c r="CN178" s="155"/>
      <c r="CO178" s="155"/>
      <c r="CP178" s="155"/>
      <c r="CQ178" s="155"/>
    </row>
    <row r="179" spans="1:95" s="155" customFormat="1" ht="38.25" x14ac:dyDescent="0.25">
      <c r="A179" s="80"/>
      <c r="B179" s="88" t="s">
        <v>130</v>
      </c>
      <c r="C179" s="64" t="s">
        <v>20</v>
      </c>
      <c r="D179" s="172"/>
      <c r="E179" s="64" t="s">
        <v>60</v>
      </c>
      <c r="F179" s="47">
        <f>$F$8/4</f>
        <v>185.75</v>
      </c>
      <c r="G179" s="58">
        <f t="shared" ref="G179:G180" si="27">D179*F179</f>
        <v>0</v>
      </c>
      <c r="H179" s="47">
        <f>$H$8/4</f>
        <v>241.5</v>
      </c>
      <c r="I179" s="58">
        <f t="shared" ref="I179:I180" si="28">D179*H179</f>
        <v>0</v>
      </c>
      <c r="J179" s="173" t="s">
        <v>426</v>
      </c>
    </row>
    <row r="180" spans="1:95" s="164" customFormat="1" ht="38.25" x14ac:dyDescent="0.25">
      <c r="A180" s="80"/>
      <c r="B180" s="89" t="s">
        <v>127</v>
      </c>
      <c r="C180" s="66" t="s">
        <v>20</v>
      </c>
      <c r="D180" s="52"/>
      <c r="E180" s="66" t="s">
        <v>60</v>
      </c>
      <c r="F180" s="50">
        <f>$F$8/2</f>
        <v>371.5</v>
      </c>
      <c r="G180" s="60">
        <f t="shared" si="27"/>
        <v>0</v>
      </c>
      <c r="H180" s="50">
        <f>$H$8/2</f>
        <v>483</v>
      </c>
      <c r="I180" s="60">
        <f t="shared" si="28"/>
        <v>0</v>
      </c>
      <c r="J180" s="173" t="s">
        <v>427</v>
      </c>
      <c r="K180" s="155"/>
      <c r="L180" s="155"/>
      <c r="M180" s="155"/>
      <c r="N180" s="155"/>
      <c r="O180" s="155"/>
      <c r="P180" s="155"/>
      <c r="Q180" s="155"/>
      <c r="R180" s="155"/>
      <c r="S180" s="155"/>
      <c r="T180" s="155"/>
      <c r="U180" s="155"/>
      <c r="V180" s="155"/>
      <c r="W180" s="155"/>
      <c r="X180" s="155"/>
      <c r="Y180" s="155"/>
      <c r="Z180" s="155"/>
      <c r="AA180" s="155"/>
      <c r="AB180" s="155"/>
      <c r="AC180" s="155"/>
      <c r="AD180" s="155"/>
      <c r="AE180" s="155"/>
      <c r="AF180" s="155"/>
      <c r="AG180" s="155"/>
      <c r="AH180" s="155"/>
      <c r="AI180" s="155"/>
      <c r="AJ180" s="155"/>
      <c r="AK180" s="155"/>
      <c r="AL180" s="155"/>
      <c r="AM180" s="155"/>
      <c r="AN180" s="155"/>
      <c r="AO180" s="155"/>
      <c r="AP180" s="155"/>
      <c r="AQ180" s="155"/>
      <c r="AR180" s="155"/>
      <c r="AS180" s="155"/>
      <c r="AT180" s="155"/>
      <c r="AU180" s="155"/>
      <c r="AV180" s="155"/>
      <c r="AW180" s="155"/>
      <c r="AX180" s="155"/>
      <c r="AY180" s="155"/>
      <c r="AZ180" s="155"/>
      <c r="BA180" s="155"/>
      <c r="BB180" s="155"/>
      <c r="BC180" s="155"/>
      <c r="BD180" s="155"/>
      <c r="BE180" s="155"/>
      <c r="BF180" s="155"/>
      <c r="BG180" s="155"/>
      <c r="BH180" s="155"/>
      <c r="BI180" s="155"/>
      <c r="BJ180" s="155"/>
      <c r="BK180" s="155"/>
      <c r="BL180" s="155"/>
      <c r="BM180" s="155"/>
      <c r="BN180" s="155"/>
      <c r="BO180" s="155"/>
      <c r="BP180" s="155"/>
      <c r="BQ180" s="155"/>
      <c r="BR180" s="155"/>
      <c r="BS180" s="155"/>
      <c r="BT180" s="155"/>
      <c r="BU180" s="155"/>
      <c r="BV180" s="155"/>
      <c r="BW180" s="155"/>
      <c r="BX180" s="155"/>
      <c r="BY180" s="155"/>
      <c r="BZ180" s="155"/>
      <c r="CA180" s="155"/>
      <c r="CB180" s="155"/>
      <c r="CC180" s="155"/>
      <c r="CD180" s="155"/>
      <c r="CE180" s="155"/>
      <c r="CF180" s="155"/>
      <c r="CG180" s="155"/>
      <c r="CH180" s="155"/>
      <c r="CI180" s="155"/>
      <c r="CJ180" s="155"/>
      <c r="CK180" s="155"/>
      <c r="CL180" s="155"/>
      <c r="CM180" s="155"/>
      <c r="CN180" s="155"/>
      <c r="CO180" s="155"/>
      <c r="CP180" s="155"/>
      <c r="CQ180" s="155"/>
    </row>
    <row r="181" spans="1:95" s="159" customFormat="1" ht="102" x14ac:dyDescent="0.25">
      <c r="A181" s="80"/>
      <c r="B181" s="92" t="s">
        <v>249</v>
      </c>
      <c r="C181" s="61">
        <v>7.6</v>
      </c>
      <c r="D181" s="83"/>
      <c r="E181" s="61"/>
      <c r="F181" s="83"/>
      <c r="G181" s="56"/>
      <c r="H181" s="83"/>
      <c r="I181" s="56"/>
      <c r="J181" s="99" t="s">
        <v>387</v>
      </c>
      <c r="K181" s="155"/>
      <c r="L181" s="155"/>
      <c r="M181" s="155"/>
      <c r="N181" s="155"/>
      <c r="O181" s="155"/>
      <c r="P181" s="155"/>
      <c r="Q181" s="155"/>
      <c r="R181" s="155"/>
      <c r="S181" s="155"/>
      <c r="T181" s="155"/>
      <c r="U181" s="155"/>
      <c r="V181" s="155"/>
      <c r="W181" s="155"/>
      <c r="X181" s="155"/>
      <c r="Y181" s="155"/>
      <c r="Z181" s="155"/>
      <c r="AA181" s="155"/>
      <c r="AB181" s="155"/>
      <c r="AC181" s="155"/>
      <c r="AD181" s="155"/>
      <c r="AE181" s="155"/>
      <c r="AF181" s="155"/>
      <c r="AG181" s="155"/>
      <c r="AH181" s="155"/>
      <c r="AI181" s="155"/>
      <c r="AJ181" s="155"/>
      <c r="AK181" s="155"/>
      <c r="AL181" s="155"/>
      <c r="AM181" s="155"/>
      <c r="AN181" s="155"/>
      <c r="AO181" s="155"/>
      <c r="AP181" s="155"/>
      <c r="AQ181" s="155"/>
      <c r="AR181" s="155"/>
      <c r="AS181" s="155"/>
      <c r="AT181" s="155"/>
      <c r="AU181" s="155"/>
      <c r="AV181" s="155"/>
      <c r="AW181" s="155"/>
      <c r="AX181" s="155"/>
      <c r="AY181" s="155"/>
      <c r="AZ181" s="155"/>
      <c r="BA181" s="155"/>
      <c r="BB181" s="155"/>
      <c r="BC181" s="155"/>
      <c r="BD181" s="155"/>
      <c r="BE181" s="155"/>
      <c r="BF181" s="155"/>
      <c r="BG181" s="155"/>
      <c r="BH181" s="155"/>
      <c r="BI181" s="155"/>
      <c r="BJ181" s="155"/>
      <c r="BK181" s="155"/>
      <c r="BL181" s="155"/>
      <c r="BM181" s="155"/>
      <c r="BN181" s="155"/>
      <c r="BO181" s="155"/>
      <c r="BP181" s="155"/>
      <c r="BQ181" s="155"/>
      <c r="BR181" s="155"/>
      <c r="BS181" s="155"/>
      <c r="BT181" s="155"/>
      <c r="BU181" s="155"/>
      <c r="BV181" s="155"/>
      <c r="BW181" s="155"/>
      <c r="BX181" s="155"/>
      <c r="BY181" s="155"/>
      <c r="BZ181" s="155"/>
      <c r="CA181" s="155"/>
      <c r="CB181" s="155"/>
      <c r="CC181" s="155"/>
      <c r="CD181" s="155"/>
      <c r="CE181" s="155"/>
      <c r="CF181" s="155"/>
      <c r="CG181" s="155"/>
      <c r="CH181" s="155"/>
      <c r="CI181" s="155"/>
      <c r="CJ181" s="155"/>
      <c r="CK181" s="155"/>
      <c r="CL181" s="155"/>
      <c r="CM181" s="155"/>
      <c r="CN181" s="155"/>
      <c r="CO181" s="155"/>
      <c r="CP181" s="155"/>
      <c r="CQ181" s="155"/>
    </row>
    <row r="182" spans="1:95" s="155" customFormat="1" ht="25.5" x14ac:dyDescent="0.25">
      <c r="A182" s="2"/>
      <c r="B182" s="91" t="s">
        <v>112</v>
      </c>
      <c r="C182" s="64" t="s">
        <v>107</v>
      </c>
      <c r="D182" s="45"/>
      <c r="E182" s="64" t="s">
        <v>12</v>
      </c>
      <c r="F182" s="47">
        <f>$F$8*1.25</f>
        <v>928.75</v>
      </c>
      <c r="G182" s="58">
        <f>D182*F182</f>
        <v>0</v>
      </c>
      <c r="H182" s="47">
        <f>$H$8*1.25</f>
        <v>1207.5</v>
      </c>
      <c r="I182" s="58">
        <f>D182*H182</f>
        <v>0</v>
      </c>
      <c r="J182" s="165" t="s">
        <v>374</v>
      </c>
    </row>
    <row r="183" spans="1:95" s="155" customFormat="1" ht="25.5" x14ac:dyDescent="0.25">
      <c r="A183" s="2"/>
      <c r="B183" s="91" t="s">
        <v>141</v>
      </c>
      <c r="C183" s="64" t="s">
        <v>108</v>
      </c>
      <c r="D183" s="45"/>
      <c r="E183" s="64" t="s">
        <v>12</v>
      </c>
      <c r="F183" s="47">
        <f>$F$8*1.5</f>
        <v>1114.5</v>
      </c>
      <c r="G183" s="58">
        <f t="shared" ref="G183:G184" si="29">D183*F183</f>
        <v>0</v>
      </c>
      <c r="H183" s="47">
        <f>$H$8*1.5</f>
        <v>1449</v>
      </c>
      <c r="I183" s="58">
        <f t="shared" ref="I183:I184" si="30">D183*H183</f>
        <v>0</v>
      </c>
      <c r="J183" s="165" t="s">
        <v>375</v>
      </c>
    </row>
    <row r="184" spans="1:95" s="164" customFormat="1" ht="25.5" x14ac:dyDescent="0.25">
      <c r="A184" s="2"/>
      <c r="B184" s="117" t="s">
        <v>142</v>
      </c>
      <c r="C184" s="66" t="s">
        <v>109</v>
      </c>
      <c r="D184" s="48"/>
      <c r="E184" s="66" t="s">
        <v>12</v>
      </c>
      <c r="F184" s="50">
        <v>900</v>
      </c>
      <c r="G184" s="60">
        <f t="shared" si="29"/>
        <v>0</v>
      </c>
      <c r="H184" s="50">
        <v>900</v>
      </c>
      <c r="I184" s="60">
        <f t="shared" si="30"/>
        <v>0</v>
      </c>
      <c r="J184" s="174" t="s">
        <v>376</v>
      </c>
      <c r="K184" s="155"/>
      <c r="L184" s="155"/>
      <c r="M184" s="155"/>
      <c r="N184" s="155"/>
      <c r="O184" s="155"/>
      <c r="P184" s="155"/>
      <c r="Q184" s="155"/>
      <c r="R184" s="155"/>
      <c r="S184" s="155"/>
      <c r="T184" s="155"/>
      <c r="U184" s="155"/>
      <c r="V184" s="155"/>
      <c r="W184" s="155"/>
      <c r="X184" s="155"/>
      <c r="Y184" s="155"/>
      <c r="Z184" s="155"/>
      <c r="AA184" s="155"/>
      <c r="AB184" s="155"/>
      <c r="AC184" s="155"/>
      <c r="AD184" s="155"/>
      <c r="AE184" s="155"/>
      <c r="AF184" s="155"/>
      <c r="AG184" s="155"/>
      <c r="AH184" s="155"/>
      <c r="AI184" s="155"/>
      <c r="AJ184" s="155"/>
      <c r="AK184" s="155"/>
      <c r="AL184" s="155"/>
      <c r="AM184" s="155"/>
      <c r="AN184" s="155"/>
      <c r="AO184" s="155"/>
      <c r="AP184" s="155"/>
      <c r="AQ184" s="155"/>
      <c r="AR184" s="155"/>
      <c r="AS184" s="155"/>
      <c r="AT184" s="155"/>
      <c r="AU184" s="155"/>
      <c r="AV184" s="155"/>
      <c r="AW184" s="155"/>
      <c r="AX184" s="155"/>
      <c r="AY184" s="155"/>
      <c r="AZ184" s="155"/>
      <c r="BA184" s="155"/>
      <c r="BB184" s="155"/>
      <c r="BC184" s="155"/>
      <c r="BD184" s="155"/>
      <c r="BE184" s="155"/>
      <c r="BF184" s="155"/>
      <c r="BG184" s="155"/>
      <c r="BH184" s="155"/>
      <c r="BI184" s="155"/>
      <c r="BJ184" s="155"/>
      <c r="BK184" s="155"/>
      <c r="BL184" s="155"/>
      <c r="BM184" s="155"/>
      <c r="BN184" s="155"/>
      <c r="BO184" s="155"/>
      <c r="BP184" s="155"/>
      <c r="BQ184" s="155"/>
      <c r="BR184" s="155"/>
      <c r="BS184" s="155"/>
      <c r="BT184" s="155"/>
      <c r="BU184" s="155"/>
      <c r="BV184" s="155"/>
      <c r="BW184" s="155"/>
      <c r="BX184" s="155"/>
      <c r="BY184" s="155"/>
      <c r="BZ184" s="155"/>
      <c r="CA184" s="155"/>
      <c r="CB184" s="155"/>
      <c r="CC184" s="155"/>
      <c r="CD184" s="155"/>
      <c r="CE184" s="155"/>
      <c r="CF184" s="155"/>
      <c r="CG184" s="155"/>
      <c r="CH184" s="155"/>
      <c r="CI184" s="155"/>
      <c r="CJ184" s="155"/>
      <c r="CK184" s="155"/>
      <c r="CL184" s="155"/>
      <c r="CM184" s="155"/>
      <c r="CN184" s="155"/>
      <c r="CO184" s="155"/>
      <c r="CP184" s="155"/>
      <c r="CQ184" s="155"/>
    </row>
    <row r="185" spans="1:95" s="159" customFormat="1" x14ac:dyDescent="0.25">
      <c r="A185" s="2"/>
      <c r="B185" s="175" t="s">
        <v>353</v>
      </c>
      <c r="C185" s="5">
        <v>7.7</v>
      </c>
      <c r="D185" s="176"/>
      <c r="E185" s="5"/>
      <c r="F185" s="7"/>
      <c r="G185" s="158"/>
      <c r="H185" s="7"/>
      <c r="I185" s="158"/>
      <c r="J185" s="177"/>
      <c r="K185" s="155"/>
      <c r="L185" s="155"/>
      <c r="M185" s="155"/>
      <c r="N185" s="155"/>
      <c r="O185" s="155"/>
      <c r="P185" s="155"/>
      <c r="Q185" s="155"/>
      <c r="R185" s="155"/>
      <c r="S185" s="155"/>
      <c r="T185" s="155"/>
      <c r="U185" s="155"/>
      <c r="V185" s="155"/>
      <c r="W185" s="155"/>
      <c r="X185" s="155"/>
      <c r="Y185" s="155"/>
      <c r="Z185" s="155"/>
      <c r="AA185" s="155"/>
      <c r="AB185" s="155"/>
      <c r="AC185" s="155"/>
      <c r="AD185" s="155"/>
      <c r="AE185" s="155"/>
      <c r="AF185" s="155"/>
      <c r="AG185" s="155"/>
      <c r="AH185" s="155"/>
      <c r="AI185" s="155"/>
      <c r="AJ185" s="155"/>
      <c r="AK185" s="155"/>
      <c r="AL185" s="155"/>
      <c r="AM185" s="155"/>
      <c r="AN185" s="155"/>
      <c r="AO185" s="155"/>
      <c r="AP185" s="155"/>
      <c r="AQ185" s="155"/>
      <c r="AR185" s="155"/>
      <c r="AS185" s="155"/>
      <c r="AT185" s="155"/>
      <c r="AU185" s="155"/>
      <c r="AV185" s="155"/>
      <c r="AW185" s="155"/>
      <c r="AX185" s="155"/>
      <c r="AY185" s="155"/>
      <c r="AZ185" s="155"/>
      <c r="BA185" s="155"/>
      <c r="BB185" s="155"/>
      <c r="BC185" s="155"/>
      <c r="BD185" s="155"/>
      <c r="BE185" s="155"/>
      <c r="BF185" s="155"/>
      <c r="BG185" s="155"/>
      <c r="BH185" s="155"/>
      <c r="BI185" s="155"/>
      <c r="BJ185" s="155"/>
      <c r="BK185" s="155"/>
      <c r="BL185" s="155"/>
      <c r="BM185" s="155"/>
      <c r="BN185" s="155"/>
      <c r="BO185" s="155"/>
      <c r="BP185" s="155"/>
      <c r="BQ185" s="155"/>
      <c r="BR185" s="155"/>
      <c r="BS185" s="155"/>
      <c r="BT185" s="155"/>
      <c r="BU185" s="155"/>
      <c r="BV185" s="155"/>
      <c r="BW185" s="155"/>
      <c r="BX185" s="155"/>
      <c r="BY185" s="155"/>
      <c r="BZ185" s="155"/>
      <c r="CA185" s="155"/>
      <c r="CB185" s="155"/>
      <c r="CC185" s="155"/>
      <c r="CD185" s="155"/>
      <c r="CE185" s="155"/>
      <c r="CF185" s="155"/>
      <c r="CG185" s="155"/>
      <c r="CH185" s="155"/>
      <c r="CI185" s="155"/>
      <c r="CJ185" s="155"/>
      <c r="CK185" s="155"/>
      <c r="CL185" s="155"/>
      <c r="CM185" s="155"/>
      <c r="CN185" s="155"/>
      <c r="CO185" s="155"/>
      <c r="CP185" s="155"/>
      <c r="CQ185" s="155"/>
    </row>
    <row r="186" spans="1:95" s="164" customFormat="1" ht="25.5" x14ac:dyDescent="0.25">
      <c r="A186" s="2"/>
      <c r="B186" s="178" t="s">
        <v>261</v>
      </c>
      <c r="C186" s="17">
        <v>1.9</v>
      </c>
      <c r="D186" s="179"/>
      <c r="E186" s="192" t="s">
        <v>12</v>
      </c>
      <c r="F186" s="10">
        <f>$F$8*1.2</f>
        <v>891.6</v>
      </c>
      <c r="G186" s="10">
        <f>D186*F186</f>
        <v>0</v>
      </c>
      <c r="H186" s="10">
        <f>$H$8*1.2</f>
        <v>1159.2</v>
      </c>
      <c r="I186" s="10">
        <f>D186*H186</f>
        <v>0</v>
      </c>
      <c r="J186" s="154" t="s">
        <v>377</v>
      </c>
      <c r="K186" s="155"/>
      <c r="L186" s="155"/>
      <c r="M186" s="155"/>
      <c r="N186" s="155"/>
      <c r="O186" s="155"/>
      <c r="P186" s="155"/>
      <c r="Q186" s="155"/>
      <c r="R186" s="155"/>
      <c r="S186" s="155"/>
      <c r="T186" s="155"/>
      <c r="U186" s="155"/>
      <c r="V186" s="155"/>
      <c r="W186" s="155"/>
      <c r="X186" s="155"/>
      <c r="Y186" s="155"/>
      <c r="Z186" s="155"/>
      <c r="AA186" s="155"/>
      <c r="AB186" s="155"/>
      <c r="AC186" s="155"/>
      <c r="AD186" s="155"/>
      <c r="AE186" s="155"/>
      <c r="AF186" s="155"/>
      <c r="AG186" s="155"/>
      <c r="AH186" s="155"/>
      <c r="AI186" s="155"/>
      <c r="AJ186" s="155"/>
      <c r="AK186" s="155"/>
      <c r="AL186" s="155"/>
      <c r="AM186" s="155"/>
      <c r="AN186" s="155"/>
      <c r="AO186" s="155"/>
      <c r="AP186" s="155"/>
      <c r="AQ186" s="155"/>
      <c r="AR186" s="155"/>
      <c r="AS186" s="155"/>
      <c r="AT186" s="155"/>
      <c r="AU186" s="155"/>
      <c r="AV186" s="155"/>
      <c r="AW186" s="155"/>
      <c r="AX186" s="155"/>
      <c r="AY186" s="155"/>
      <c r="AZ186" s="155"/>
      <c r="BA186" s="155"/>
      <c r="BB186" s="155"/>
      <c r="BC186" s="155"/>
      <c r="BD186" s="155"/>
      <c r="BE186" s="155"/>
      <c r="BF186" s="155"/>
      <c r="BG186" s="155"/>
      <c r="BH186" s="155"/>
      <c r="BI186" s="155"/>
      <c r="BJ186" s="155"/>
      <c r="BK186" s="155"/>
      <c r="BL186" s="155"/>
      <c r="BM186" s="155"/>
      <c r="BN186" s="155"/>
      <c r="BO186" s="155"/>
      <c r="BP186" s="155"/>
      <c r="BQ186" s="155"/>
      <c r="BR186" s="155"/>
      <c r="BS186" s="155"/>
      <c r="BT186" s="155"/>
      <c r="BU186" s="155"/>
      <c r="BV186" s="155"/>
      <c r="BW186" s="155"/>
      <c r="BX186" s="155"/>
      <c r="BY186" s="155"/>
      <c r="BZ186" s="155"/>
      <c r="CA186" s="155"/>
      <c r="CB186" s="155"/>
      <c r="CC186" s="155"/>
      <c r="CD186" s="155"/>
      <c r="CE186" s="155"/>
      <c r="CF186" s="155"/>
      <c r="CG186" s="155"/>
      <c r="CH186" s="155"/>
      <c r="CI186" s="155"/>
      <c r="CJ186" s="155"/>
      <c r="CK186" s="155"/>
      <c r="CL186" s="155"/>
      <c r="CM186" s="155"/>
      <c r="CN186" s="155"/>
      <c r="CO186" s="155"/>
      <c r="CP186" s="155"/>
      <c r="CQ186" s="155"/>
    </row>
    <row r="187" spans="1:95" s="159" customFormat="1" x14ac:dyDescent="0.25">
      <c r="A187" s="80"/>
      <c r="B187" s="157" t="s">
        <v>228</v>
      </c>
      <c r="C187" s="5">
        <v>7.9</v>
      </c>
      <c r="D187" s="79"/>
      <c r="E187" s="5"/>
      <c r="F187" s="7"/>
      <c r="G187" s="158"/>
      <c r="H187" s="7"/>
      <c r="I187" s="158"/>
      <c r="J187" s="177"/>
      <c r="K187" s="155"/>
      <c r="L187" s="155"/>
      <c r="M187" s="155"/>
      <c r="N187" s="155"/>
      <c r="O187" s="155"/>
      <c r="P187" s="155"/>
      <c r="Q187" s="155"/>
      <c r="R187" s="155"/>
      <c r="S187" s="155"/>
      <c r="T187" s="155"/>
      <c r="U187" s="155"/>
      <c r="V187" s="155"/>
      <c r="W187" s="155"/>
      <c r="X187" s="155"/>
      <c r="Y187" s="155"/>
      <c r="Z187" s="155"/>
      <c r="AA187" s="155"/>
      <c r="AB187" s="155"/>
      <c r="AC187" s="155"/>
      <c r="AD187" s="155"/>
      <c r="AE187" s="155"/>
      <c r="AF187" s="155"/>
      <c r="AG187" s="155"/>
      <c r="AH187" s="155"/>
      <c r="AI187" s="155"/>
      <c r="AJ187" s="155"/>
      <c r="AK187" s="155"/>
      <c r="AL187" s="155"/>
      <c r="AM187" s="155"/>
      <c r="AN187" s="155"/>
      <c r="AO187" s="155"/>
      <c r="AP187" s="155"/>
      <c r="AQ187" s="155"/>
      <c r="AR187" s="155"/>
      <c r="AS187" s="155"/>
      <c r="AT187" s="155"/>
      <c r="AU187" s="155"/>
      <c r="AV187" s="155"/>
      <c r="AW187" s="155"/>
      <c r="AX187" s="155"/>
      <c r="AY187" s="155"/>
      <c r="AZ187" s="155"/>
      <c r="BA187" s="155"/>
      <c r="BB187" s="155"/>
      <c r="BC187" s="155"/>
      <c r="BD187" s="155"/>
      <c r="BE187" s="155"/>
      <c r="BF187" s="155"/>
      <c r="BG187" s="155"/>
      <c r="BH187" s="155"/>
      <c r="BI187" s="155"/>
      <c r="BJ187" s="155"/>
      <c r="BK187" s="155"/>
      <c r="BL187" s="155"/>
      <c r="BM187" s="155"/>
      <c r="BN187" s="155"/>
      <c r="BO187" s="155"/>
      <c r="BP187" s="155"/>
      <c r="BQ187" s="155"/>
      <c r="BR187" s="155"/>
      <c r="BS187" s="155"/>
      <c r="BT187" s="155"/>
      <c r="BU187" s="155"/>
      <c r="BV187" s="155"/>
      <c r="BW187" s="155"/>
      <c r="BX187" s="155"/>
      <c r="BY187" s="155"/>
      <c r="BZ187" s="155"/>
      <c r="CA187" s="155"/>
      <c r="CB187" s="155"/>
      <c r="CC187" s="155"/>
      <c r="CD187" s="155"/>
      <c r="CE187" s="155"/>
      <c r="CF187" s="155"/>
      <c r="CG187" s="155"/>
      <c r="CH187" s="155"/>
      <c r="CI187" s="155"/>
      <c r="CJ187" s="155"/>
      <c r="CK187" s="155"/>
      <c r="CL187" s="155"/>
      <c r="CM187" s="155"/>
      <c r="CN187" s="155"/>
      <c r="CO187" s="155"/>
      <c r="CP187" s="155"/>
      <c r="CQ187" s="155"/>
    </row>
    <row r="188" spans="1:95" s="155" customFormat="1" x14ac:dyDescent="0.25">
      <c r="A188" s="80"/>
      <c r="B188" s="4" t="s">
        <v>80</v>
      </c>
      <c r="C188" s="15" t="s">
        <v>87</v>
      </c>
      <c r="D188" s="80"/>
      <c r="E188" s="15"/>
      <c r="F188" s="1"/>
      <c r="G188" s="161"/>
      <c r="H188" s="1"/>
      <c r="I188" s="161"/>
      <c r="J188" s="168" t="s">
        <v>325</v>
      </c>
    </row>
    <row r="189" spans="1:95" s="155" customFormat="1" x14ac:dyDescent="0.25">
      <c r="A189" s="80"/>
      <c r="B189" s="13" t="s">
        <v>281</v>
      </c>
      <c r="C189" s="15"/>
      <c r="D189" s="80"/>
      <c r="E189" s="15"/>
      <c r="F189" s="1"/>
      <c r="G189" s="161"/>
      <c r="H189" s="1"/>
      <c r="I189" s="161"/>
      <c r="J189" s="168" t="s">
        <v>360</v>
      </c>
    </row>
    <row r="190" spans="1:95" s="155" customFormat="1" x14ac:dyDescent="0.25">
      <c r="A190" s="80"/>
      <c r="B190" s="160" t="s">
        <v>282</v>
      </c>
      <c r="C190" s="15"/>
      <c r="D190" s="80"/>
      <c r="E190" s="64" t="s">
        <v>12</v>
      </c>
      <c r="F190" s="1">
        <f>$F$8/1.25</f>
        <v>594.4</v>
      </c>
      <c r="G190" s="161">
        <f t="shared" ref="G190:G192" si="31">D190*F190</f>
        <v>0</v>
      </c>
      <c r="H190" s="1">
        <f>$H$8/1.25</f>
        <v>772.8</v>
      </c>
      <c r="I190" s="58">
        <f>D190*H190</f>
        <v>0</v>
      </c>
      <c r="J190" s="168"/>
    </row>
    <row r="191" spans="1:95" s="155" customFormat="1" x14ac:dyDescent="0.25">
      <c r="A191" s="80"/>
      <c r="B191" s="160" t="s">
        <v>283</v>
      </c>
      <c r="C191" s="15"/>
      <c r="D191" s="80"/>
      <c r="E191" s="64" t="s">
        <v>12</v>
      </c>
      <c r="F191" s="1">
        <f>$F$8/1.5</f>
        <v>495.33333333333331</v>
      </c>
      <c r="G191" s="161">
        <f t="shared" si="31"/>
        <v>0</v>
      </c>
      <c r="H191" s="1">
        <f>$H$8/1.5</f>
        <v>644</v>
      </c>
      <c r="I191" s="58">
        <f t="shared" ref="I191:I192" si="32">D191*H191</f>
        <v>0</v>
      </c>
      <c r="J191" s="168"/>
    </row>
    <row r="192" spans="1:95" s="155" customFormat="1" x14ac:dyDescent="0.25">
      <c r="A192" s="80"/>
      <c r="B192" s="160" t="s">
        <v>284</v>
      </c>
      <c r="C192" s="15"/>
      <c r="D192" s="80"/>
      <c r="E192" s="64" t="s">
        <v>12</v>
      </c>
      <c r="F192" s="1">
        <f>$F$8/1.75</f>
        <v>424.57142857142856</v>
      </c>
      <c r="G192" s="161">
        <f t="shared" si="31"/>
        <v>0</v>
      </c>
      <c r="H192" s="1">
        <f>$H$8/1.75</f>
        <v>552</v>
      </c>
      <c r="I192" s="58">
        <f t="shared" si="32"/>
        <v>0</v>
      </c>
      <c r="J192" s="168"/>
    </row>
    <row r="193" spans="1:10" s="155" customFormat="1" x14ac:dyDescent="0.25">
      <c r="A193" s="80"/>
      <c r="B193" s="13" t="s">
        <v>285</v>
      </c>
      <c r="C193" s="15"/>
      <c r="D193" s="80"/>
      <c r="E193" s="15"/>
      <c r="F193" s="1"/>
      <c r="G193" s="161"/>
      <c r="H193" s="1"/>
      <c r="I193" s="161"/>
      <c r="J193" s="168"/>
    </row>
    <row r="194" spans="1:10" s="155" customFormat="1" x14ac:dyDescent="0.25">
      <c r="A194" s="80"/>
      <c r="B194" s="160" t="s">
        <v>283</v>
      </c>
      <c r="C194" s="15"/>
      <c r="D194" s="80"/>
      <c r="E194" s="64" t="s">
        <v>12</v>
      </c>
      <c r="F194" s="1">
        <f>$F$8/0.75</f>
        <v>990.66666666666663</v>
      </c>
      <c r="G194" s="161">
        <f t="shared" ref="G194:G195" si="33">D194*F194</f>
        <v>0</v>
      </c>
      <c r="H194" s="1">
        <f>$H$8/0.75</f>
        <v>1288</v>
      </c>
      <c r="I194" s="58">
        <f>D194*H194</f>
        <v>0</v>
      </c>
      <c r="J194" s="168"/>
    </row>
    <row r="195" spans="1:10" s="155" customFormat="1" x14ac:dyDescent="0.25">
      <c r="A195" s="80"/>
      <c r="B195" s="160" t="s">
        <v>284</v>
      </c>
      <c r="C195" s="15"/>
      <c r="D195" s="80"/>
      <c r="E195" s="64" t="s">
        <v>12</v>
      </c>
      <c r="F195" s="1">
        <f>$F$8/1</f>
        <v>743</v>
      </c>
      <c r="G195" s="161">
        <f t="shared" si="33"/>
        <v>0</v>
      </c>
      <c r="H195" s="1">
        <f>$H$8/1</f>
        <v>966</v>
      </c>
      <c r="I195" s="58">
        <f t="shared" ref="I195" si="34">D195*H195</f>
        <v>0</v>
      </c>
      <c r="J195" s="168"/>
    </row>
    <row r="196" spans="1:10" s="155" customFormat="1" x14ac:dyDescent="0.25">
      <c r="A196" s="80"/>
      <c r="B196" s="13" t="s">
        <v>359</v>
      </c>
      <c r="C196" s="15"/>
      <c r="D196" s="80"/>
      <c r="E196" s="15"/>
      <c r="F196" s="1"/>
      <c r="G196" s="161"/>
      <c r="H196" s="1"/>
      <c r="I196" s="161"/>
      <c r="J196" s="168"/>
    </row>
    <row r="197" spans="1:10" s="155" customFormat="1" x14ac:dyDescent="0.25">
      <c r="A197" s="80"/>
      <c r="B197" s="160" t="s">
        <v>282</v>
      </c>
      <c r="C197" s="15"/>
      <c r="D197" s="80"/>
      <c r="E197" s="64" t="s">
        <v>12</v>
      </c>
      <c r="F197" s="1">
        <f>$F$8/1</f>
        <v>743</v>
      </c>
      <c r="G197" s="161">
        <f t="shared" ref="G197:G199" si="35">D197*F197</f>
        <v>0</v>
      </c>
      <c r="H197" s="1">
        <f>$H$8/1</f>
        <v>966</v>
      </c>
      <c r="I197" s="58">
        <f>D197*H197</f>
        <v>0</v>
      </c>
      <c r="J197" s="168"/>
    </row>
    <row r="198" spans="1:10" s="155" customFormat="1" x14ac:dyDescent="0.25">
      <c r="A198" s="80"/>
      <c r="B198" s="160" t="s">
        <v>283</v>
      </c>
      <c r="C198" s="15"/>
      <c r="D198" s="80"/>
      <c r="E198" s="64" t="s">
        <v>12</v>
      </c>
      <c r="F198" s="1">
        <f>$F$8/1.25</f>
        <v>594.4</v>
      </c>
      <c r="G198" s="161">
        <f t="shared" si="35"/>
        <v>0</v>
      </c>
      <c r="H198" s="1">
        <f>$H$8/1.25</f>
        <v>772.8</v>
      </c>
      <c r="I198" s="58">
        <f t="shared" ref="I198:I199" si="36">D198*H198</f>
        <v>0</v>
      </c>
      <c r="J198" s="168"/>
    </row>
    <row r="199" spans="1:10" s="155" customFormat="1" x14ac:dyDescent="0.25">
      <c r="A199" s="80"/>
      <c r="B199" s="160" t="s">
        <v>284</v>
      </c>
      <c r="C199" s="15"/>
      <c r="D199" s="80"/>
      <c r="E199" s="64" t="s">
        <v>12</v>
      </c>
      <c r="F199" s="1">
        <f>$F$8/1.5</f>
        <v>495.33333333333331</v>
      </c>
      <c r="G199" s="161">
        <f t="shared" si="35"/>
        <v>0</v>
      </c>
      <c r="H199" s="1">
        <f>$H$8/1.5</f>
        <v>644</v>
      </c>
      <c r="I199" s="58">
        <f t="shared" si="36"/>
        <v>0</v>
      </c>
      <c r="J199" s="168"/>
    </row>
    <row r="200" spans="1:10" s="155" customFormat="1" x14ac:dyDescent="0.25">
      <c r="A200" s="80"/>
      <c r="B200" s="152" t="s">
        <v>89</v>
      </c>
      <c r="C200" s="15" t="s">
        <v>88</v>
      </c>
      <c r="D200" s="80"/>
      <c r="E200" s="15"/>
      <c r="F200" s="1"/>
      <c r="G200" s="161"/>
      <c r="H200" s="1"/>
      <c r="I200" s="161"/>
      <c r="J200" s="168" t="s">
        <v>308</v>
      </c>
    </row>
    <row r="201" spans="1:10" s="155" customFormat="1" x14ac:dyDescent="0.25">
      <c r="A201" s="80"/>
      <c r="B201" s="13" t="s">
        <v>287</v>
      </c>
      <c r="C201" s="15"/>
      <c r="D201" s="80"/>
      <c r="E201" s="15"/>
      <c r="F201" s="1"/>
      <c r="G201" s="161"/>
      <c r="H201" s="1"/>
      <c r="I201" s="161"/>
      <c r="J201" s="168"/>
    </row>
    <row r="202" spans="1:10" s="155" customFormat="1" x14ac:dyDescent="0.25">
      <c r="A202" s="80"/>
      <c r="B202" s="160" t="s">
        <v>361</v>
      </c>
      <c r="C202" s="15"/>
      <c r="D202" s="80"/>
      <c r="E202" s="15" t="s">
        <v>69</v>
      </c>
      <c r="F202" s="1">
        <f>$F$8/2.5</f>
        <v>297.2</v>
      </c>
      <c r="G202" s="58">
        <f t="shared" ref="G202" si="37">D202*F202</f>
        <v>0</v>
      </c>
      <c r="H202" s="1">
        <f>$H$8/2.5</f>
        <v>386.4</v>
      </c>
      <c r="I202" s="58">
        <f>D202*H202</f>
        <v>0</v>
      </c>
      <c r="J202" s="168"/>
    </row>
    <row r="203" spans="1:10" s="155" customFormat="1" x14ac:dyDescent="0.25">
      <c r="A203" s="80"/>
      <c r="B203" s="160" t="s">
        <v>289</v>
      </c>
      <c r="C203" s="15"/>
      <c r="D203" s="80"/>
      <c r="E203" s="15"/>
      <c r="F203" s="1"/>
      <c r="G203" s="161"/>
      <c r="H203" s="1"/>
      <c r="I203" s="161"/>
      <c r="J203" s="168"/>
    </row>
    <row r="204" spans="1:10" s="155" customFormat="1" x14ac:dyDescent="0.25">
      <c r="A204" s="80"/>
      <c r="B204" s="160" t="s">
        <v>290</v>
      </c>
      <c r="C204" s="15"/>
      <c r="D204" s="80"/>
      <c r="E204" s="15" t="s">
        <v>69</v>
      </c>
      <c r="F204" s="1">
        <f>$F$8/2</f>
        <v>371.5</v>
      </c>
      <c r="G204" s="58">
        <f t="shared" ref="G204:G206" si="38">D204*F204</f>
        <v>0</v>
      </c>
      <c r="H204" s="1">
        <f>$H$8/2</f>
        <v>483</v>
      </c>
      <c r="I204" s="58">
        <f t="shared" ref="I204:I206" si="39">D204*H204</f>
        <v>0</v>
      </c>
      <c r="J204" s="168"/>
    </row>
    <row r="205" spans="1:10" s="155" customFormat="1" x14ac:dyDescent="0.25">
      <c r="A205" s="80"/>
      <c r="B205" s="160" t="s">
        <v>291</v>
      </c>
      <c r="C205" s="15"/>
      <c r="D205" s="80"/>
      <c r="E205" s="15" t="s">
        <v>69</v>
      </c>
      <c r="F205" s="1">
        <f>$F$8/1.75</f>
        <v>424.57142857142856</v>
      </c>
      <c r="G205" s="58">
        <f t="shared" si="38"/>
        <v>0</v>
      </c>
      <c r="H205" s="1">
        <f>$H$8/1.75</f>
        <v>552</v>
      </c>
      <c r="I205" s="58">
        <f t="shared" si="39"/>
        <v>0</v>
      </c>
      <c r="J205" s="168"/>
    </row>
    <row r="206" spans="1:10" s="155" customFormat="1" x14ac:dyDescent="0.25">
      <c r="A206" s="80"/>
      <c r="B206" s="160" t="s">
        <v>292</v>
      </c>
      <c r="C206" s="15"/>
      <c r="D206" s="80"/>
      <c r="E206" s="15" t="s">
        <v>69</v>
      </c>
      <c r="F206" s="1">
        <f>$F$8/1.5</f>
        <v>495.33333333333331</v>
      </c>
      <c r="G206" s="58">
        <f t="shared" si="38"/>
        <v>0</v>
      </c>
      <c r="H206" s="1">
        <f>$H$8/1.5</f>
        <v>644</v>
      </c>
      <c r="I206" s="58">
        <f t="shared" si="39"/>
        <v>0</v>
      </c>
      <c r="J206" s="168"/>
    </row>
    <row r="207" spans="1:10" s="155" customFormat="1" x14ac:dyDescent="0.25">
      <c r="A207" s="80"/>
      <c r="B207" s="13" t="s">
        <v>286</v>
      </c>
      <c r="C207" s="15"/>
      <c r="D207" s="80"/>
      <c r="E207" s="15"/>
      <c r="F207" s="1"/>
      <c r="G207" s="161"/>
      <c r="H207" s="1"/>
      <c r="I207" s="161"/>
      <c r="J207" s="168"/>
    </row>
    <row r="208" spans="1:10" s="155" customFormat="1" x14ac:dyDescent="0.25">
      <c r="A208" s="80"/>
      <c r="B208" s="160" t="s">
        <v>361</v>
      </c>
      <c r="C208" s="15"/>
      <c r="D208" s="80"/>
      <c r="E208" s="15" t="s">
        <v>69</v>
      </c>
      <c r="F208" s="1">
        <f>$F$8/3</f>
        <v>247.66666666666666</v>
      </c>
      <c r="G208" s="58">
        <f t="shared" ref="G208" si="40">D208*F208</f>
        <v>0</v>
      </c>
      <c r="H208" s="1">
        <f>$H$8/3</f>
        <v>322</v>
      </c>
      <c r="I208" s="58">
        <f>D208*H208</f>
        <v>0</v>
      </c>
      <c r="J208" s="168"/>
    </row>
    <row r="209" spans="1:10" s="155" customFormat="1" x14ac:dyDescent="0.25">
      <c r="A209" s="80"/>
      <c r="B209" s="160" t="s">
        <v>289</v>
      </c>
      <c r="C209" s="15"/>
      <c r="D209" s="80"/>
      <c r="E209" s="15"/>
      <c r="F209" s="1"/>
      <c r="G209" s="161"/>
      <c r="H209" s="1"/>
      <c r="I209" s="161"/>
      <c r="J209" s="168"/>
    </row>
    <row r="210" spans="1:10" s="155" customFormat="1" x14ac:dyDescent="0.25">
      <c r="A210" s="80"/>
      <c r="B210" s="160" t="s">
        <v>290</v>
      </c>
      <c r="C210" s="15"/>
      <c r="D210" s="80"/>
      <c r="E210" s="15" t="s">
        <v>69</v>
      </c>
      <c r="F210" s="1">
        <f>$F$8/3</f>
        <v>247.66666666666666</v>
      </c>
      <c r="G210" s="58">
        <f t="shared" ref="G210:G212" si="41">D210*F210</f>
        <v>0</v>
      </c>
      <c r="H210" s="1">
        <f>$H$8/3</f>
        <v>322</v>
      </c>
      <c r="I210" s="58">
        <f t="shared" ref="I210:I212" si="42">D210*H210</f>
        <v>0</v>
      </c>
      <c r="J210" s="168"/>
    </row>
    <row r="211" spans="1:10" s="155" customFormat="1" x14ac:dyDescent="0.25">
      <c r="A211" s="80"/>
      <c r="B211" s="160" t="s">
        <v>291</v>
      </c>
      <c r="C211" s="15"/>
      <c r="D211" s="80"/>
      <c r="E211" s="15" t="s">
        <v>69</v>
      </c>
      <c r="F211" s="1">
        <f>$F$8/2.75</f>
        <v>270.18181818181819</v>
      </c>
      <c r="G211" s="58">
        <f t="shared" si="41"/>
        <v>0</v>
      </c>
      <c r="H211" s="1">
        <f>$H$8/2.75</f>
        <v>351.27272727272725</v>
      </c>
      <c r="I211" s="58">
        <f t="shared" si="42"/>
        <v>0</v>
      </c>
      <c r="J211" s="168"/>
    </row>
    <row r="212" spans="1:10" s="155" customFormat="1" x14ac:dyDescent="0.25">
      <c r="A212" s="80"/>
      <c r="B212" s="160" t="s">
        <v>292</v>
      </c>
      <c r="C212" s="15"/>
      <c r="D212" s="80"/>
      <c r="E212" s="15" t="s">
        <v>69</v>
      </c>
      <c r="F212" s="1">
        <f>$F$8/2.5</f>
        <v>297.2</v>
      </c>
      <c r="G212" s="58">
        <f t="shared" si="41"/>
        <v>0</v>
      </c>
      <c r="H212" s="1">
        <f>$H$8/2.5</f>
        <v>386.4</v>
      </c>
      <c r="I212" s="58">
        <f t="shared" si="42"/>
        <v>0</v>
      </c>
      <c r="J212" s="168"/>
    </row>
    <row r="213" spans="1:10" s="155" customFormat="1" x14ac:dyDescent="0.25">
      <c r="A213" s="80"/>
      <c r="B213" s="13" t="s">
        <v>293</v>
      </c>
      <c r="C213" s="15"/>
      <c r="D213" s="80"/>
      <c r="E213" s="15"/>
      <c r="F213" s="1"/>
      <c r="G213" s="161"/>
      <c r="H213" s="1"/>
      <c r="I213" s="161"/>
      <c r="J213" s="168"/>
    </row>
    <row r="214" spans="1:10" s="155" customFormat="1" x14ac:dyDescent="0.25">
      <c r="A214" s="80"/>
      <c r="B214" s="160" t="s">
        <v>361</v>
      </c>
      <c r="C214" s="15"/>
      <c r="D214" s="80"/>
      <c r="E214" s="15" t="s">
        <v>69</v>
      </c>
      <c r="F214" s="1">
        <f>$F$8/3.25</f>
        <v>228.61538461538461</v>
      </c>
      <c r="G214" s="58">
        <f t="shared" ref="G214" si="43">D214*F214</f>
        <v>0</v>
      </c>
      <c r="H214" s="1">
        <f>$H$8/3.25</f>
        <v>297.23076923076923</v>
      </c>
      <c r="I214" s="58">
        <f>D214*H214</f>
        <v>0</v>
      </c>
      <c r="J214" s="168"/>
    </row>
    <row r="215" spans="1:10" s="155" customFormat="1" x14ac:dyDescent="0.25">
      <c r="A215" s="80"/>
      <c r="B215" s="160" t="s">
        <v>289</v>
      </c>
      <c r="C215" s="15"/>
      <c r="D215" s="80"/>
      <c r="E215" s="15"/>
      <c r="F215" s="1"/>
      <c r="G215" s="161"/>
      <c r="H215" s="1"/>
      <c r="I215" s="161"/>
      <c r="J215" s="168"/>
    </row>
    <row r="216" spans="1:10" s="155" customFormat="1" x14ac:dyDescent="0.25">
      <c r="A216" s="80"/>
      <c r="B216" s="160" t="s">
        <v>290</v>
      </c>
      <c r="C216" s="15"/>
      <c r="D216" s="80"/>
      <c r="E216" s="15" t="s">
        <v>69</v>
      </c>
      <c r="F216" s="1">
        <f>$F$8/2.5</f>
        <v>297.2</v>
      </c>
      <c r="G216" s="58">
        <f t="shared" ref="G216:G218" si="44">D216*F216</f>
        <v>0</v>
      </c>
      <c r="H216" s="1">
        <f>$H$8/2.5</f>
        <v>386.4</v>
      </c>
      <c r="I216" s="58">
        <f t="shared" ref="I216:I218" si="45">D216*H216</f>
        <v>0</v>
      </c>
      <c r="J216" s="168"/>
    </row>
    <row r="217" spans="1:10" s="155" customFormat="1" x14ac:dyDescent="0.25">
      <c r="A217" s="80"/>
      <c r="B217" s="160" t="s">
        <v>291</v>
      </c>
      <c r="C217" s="15"/>
      <c r="D217" s="80"/>
      <c r="E217" s="15" t="s">
        <v>69</v>
      </c>
      <c r="F217" s="1">
        <f>$F$8/2.25</f>
        <v>330.22222222222223</v>
      </c>
      <c r="G217" s="58">
        <f t="shared" si="44"/>
        <v>0</v>
      </c>
      <c r="H217" s="1">
        <f>$H$8/2.25</f>
        <v>429.33333333333331</v>
      </c>
      <c r="I217" s="58">
        <f t="shared" si="45"/>
        <v>0</v>
      </c>
      <c r="J217" s="168"/>
    </row>
    <row r="218" spans="1:10" s="155" customFormat="1" x14ac:dyDescent="0.25">
      <c r="A218" s="80"/>
      <c r="B218" s="160" t="s">
        <v>292</v>
      </c>
      <c r="C218" s="15"/>
      <c r="D218" s="80"/>
      <c r="E218" s="15" t="s">
        <v>69</v>
      </c>
      <c r="F218" s="1">
        <f>$F$8/2</f>
        <v>371.5</v>
      </c>
      <c r="G218" s="58">
        <f t="shared" si="44"/>
        <v>0</v>
      </c>
      <c r="H218" s="1">
        <f>$H$8/2</f>
        <v>483</v>
      </c>
      <c r="I218" s="58">
        <f t="shared" si="45"/>
        <v>0</v>
      </c>
      <c r="J218" s="168"/>
    </row>
    <row r="219" spans="1:10" s="155" customFormat="1" x14ac:dyDescent="0.25">
      <c r="A219" s="80"/>
      <c r="B219" s="13" t="s">
        <v>294</v>
      </c>
      <c r="C219" s="15"/>
      <c r="D219" s="80"/>
      <c r="E219" s="15"/>
      <c r="F219" s="1"/>
      <c r="G219" s="161"/>
      <c r="H219" s="1"/>
      <c r="I219" s="161"/>
      <c r="J219" s="168"/>
    </row>
    <row r="220" spans="1:10" s="155" customFormat="1" x14ac:dyDescent="0.25">
      <c r="A220" s="80"/>
      <c r="B220" s="160" t="s">
        <v>361</v>
      </c>
      <c r="C220" s="15"/>
      <c r="D220" s="80"/>
      <c r="E220" s="15" t="s">
        <v>69</v>
      </c>
      <c r="F220" s="1">
        <f>$F$8/4</f>
        <v>185.75</v>
      </c>
      <c r="G220" s="58">
        <f t="shared" ref="G220" si="46">D220*F220</f>
        <v>0</v>
      </c>
      <c r="H220" s="1">
        <f>$H$8/4</f>
        <v>241.5</v>
      </c>
      <c r="I220" s="58">
        <f>D220*H220</f>
        <v>0</v>
      </c>
      <c r="J220" s="168"/>
    </row>
    <row r="221" spans="1:10" s="155" customFormat="1" x14ac:dyDescent="0.25">
      <c r="A221" s="80"/>
      <c r="B221" s="160" t="s">
        <v>289</v>
      </c>
      <c r="C221" s="15"/>
      <c r="D221" s="80"/>
      <c r="E221" s="15"/>
      <c r="F221" s="1"/>
      <c r="G221" s="161"/>
      <c r="H221" s="1"/>
      <c r="I221" s="161"/>
      <c r="J221" s="168"/>
    </row>
    <row r="222" spans="1:10" s="155" customFormat="1" x14ac:dyDescent="0.25">
      <c r="A222" s="80"/>
      <c r="B222" s="160" t="s">
        <v>290</v>
      </c>
      <c r="C222" s="15"/>
      <c r="D222" s="80"/>
      <c r="E222" s="15" t="s">
        <v>69</v>
      </c>
      <c r="F222" s="1">
        <f>$F$8/3.5</f>
        <v>212.28571428571428</v>
      </c>
      <c r="G222" s="58">
        <f t="shared" ref="G222:G224" si="47">D222*F222</f>
        <v>0</v>
      </c>
      <c r="H222" s="1">
        <f>$H$8/3.5</f>
        <v>276</v>
      </c>
      <c r="I222" s="58">
        <f t="shared" ref="I222:I224" si="48">D222*H222</f>
        <v>0</v>
      </c>
      <c r="J222" s="168"/>
    </row>
    <row r="223" spans="1:10" s="155" customFormat="1" x14ac:dyDescent="0.25">
      <c r="A223" s="80"/>
      <c r="B223" s="160" t="s">
        <v>291</v>
      </c>
      <c r="C223" s="15"/>
      <c r="D223" s="80"/>
      <c r="E223" s="15" t="s">
        <v>69</v>
      </c>
      <c r="F223" s="1">
        <f>$F$8/3.25</f>
        <v>228.61538461538461</v>
      </c>
      <c r="G223" s="58">
        <f t="shared" si="47"/>
        <v>0</v>
      </c>
      <c r="H223" s="1">
        <f>$H$8/3.25</f>
        <v>297.23076923076923</v>
      </c>
      <c r="I223" s="58">
        <f t="shared" si="48"/>
        <v>0</v>
      </c>
      <c r="J223" s="168"/>
    </row>
    <row r="224" spans="1:10" s="155" customFormat="1" x14ac:dyDescent="0.25">
      <c r="A224" s="80"/>
      <c r="B224" s="160" t="s">
        <v>292</v>
      </c>
      <c r="C224" s="15"/>
      <c r="D224" s="80"/>
      <c r="E224" s="15" t="s">
        <v>69</v>
      </c>
      <c r="F224" s="1">
        <f>$F$8/3</f>
        <v>247.66666666666666</v>
      </c>
      <c r="G224" s="58">
        <f t="shared" si="47"/>
        <v>0</v>
      </c>
      <c r="H224" s="1">
        <f>$H$8/3</f>
        <v>322</v>
      </c>
      <c r="I224" s="58">
        <f t="shared" si="48"/>
        <v>0</v>
      </c>
      <c r="J224" s="168"/>
    </row>
    <row r="225" spans="1:82" s="155" customFormat="1" x14ac:dyDescent="0.25">
      <c r="A225" s="80"/>
      <c r="B225" s="13" t="s">
        <v>295</v>
      </c>
      <c r="C225" s="15"/>
      <c r="D225" s="80"/>
      <c r="E225" s="15"/>
      <c r="F225" s="1"/>
      <c r="G225" s="161"/>
      <c r="H225" s="1"/>
      <c r="I225" s="161"/>
      <c r="J225" s="168"/>
    </row>
    <row r="226" spans="1:82" s="155" customFormat="1" x14ac:dyDescent="0.25">
      <c r="A226" s="80"/>
      <c r="B226" s="160" t="s">
        <v>288</v>
      </c>
      <c r="C226" s="15"/>
      <c r="D226" s="80"/>
      <c r="E226" s="15" t="s">
        <v>69</v>
      </c>
      <c r="F226" s="1">
        <f>$F$8/4.5</f>
        <v>165.11111111111111</v>
      </c>
      <c r="G226" s="58">
        <f t="shared" ref="G226" si="49">D226*F226</f>
        <v>0</v>
      </c>
      <c r="H226" s="1">
        <f>$H$8/4.5</f>
        <v>214.66666666666666</v>
      </c>
      <c r="I226" s="58">
        <f>D226*H226</f>
        <v>0</v>
      </c>
      <c r="J226" s="168"/>
    </row>
    <row r="227" spans="1:82" s="155" customFormat="1" x14ac:dyDescent="0.25">
      <c r="A227" s="80"/>
      <c r="B227" s="160" t="s">
        <v>289</v>
      </c>
      <c r="C227" s="15"/>
      <c r="D227" s="80"/>
      <c r="E227" s="15"/>
      <c r="F227" s="1"/>
      <c r="G227" s="161"/>
      <c r="H227" s="1"/>
      <c r="I227" s="161"/>
      <c r="J227" s="168"/>
    </row>
    <row r="228" spans="1:82" s="155" customFormat="1" x14ac:dyDescent="0.25">
      <c r="A228" s="80"/>
      <c r="B228" s="160" t="s">
        <v>290</v>
      </c>
      <c r="C228" s="15"/>
      <c r="D228" s="80"/>
      <c r="E228" s="15" t="s">
        <v>69</v>
      </c>
      <c r="F228" s="1">
        <f>$F$8/4</f>
        <v>185.75</v>
      </c>
      <c r="G228" s="58">
        <f t="shared" ref="G228:G230" si="50">D228*F228</f>
        <v>0</v>
      </c>
      <c r="H228" s="1">
        <f>$H$8/4</f>
        <v>241.5</v>
      </c>
      <c r="I228" s="58">
        <f t="shared" ref="I228:I230" si="51">D228*H228</f>
        <v>0</v>
      </c>
      <c r="J228" s="168"/>
    </row>
    <row r="229" spans="1:82" s="155" customFormat="1" x14ac:dyDescent="0.25">
      <c r="A229" s="80"/>
      <c r="B229" s="160" t="s">
        <v>291</v>
      </c>
      <c r="C229" s="15"/>
      <c r="D229" s="80"/>
      <c r="E229" s="15" t="s">
        <v>69</v>
      </c>
      <c r="F229" s="1">
        <f>$F$8/3.75</f>
        <v>198.13333333333333</v>
      </c>
      <c r="G229" s="58">
        <f t="shared" si="50"/>
        <v>0</v>
      </c>
      <c r="H229" s="1">
        <f>$H$8/3.75</f>
        <v>257.60000000000002</v>
      </c>
      <c r="I229" s="58">
        <f t="shared" si="51"/>
        <v>0</v>
      </c>
      <c r="J229" s="168"/>
    </row>
    <row r="230" spans="1:82" s="155" customFormat="1" x14ac:dyDescent="0.25">
      <c r="A230" s="80"/>
      <c r="B230" s="160" t="s">
        <v>292</v>
      </c>
      <c r="C230" s="15"/>
      <c r="D230" s="80"/>
      <c r="E230" s="15" t="s">
        <v>69</v>
      </c>
      <c r="F230" s="1">
        <f>$F$8/3.5</f>
        <v>212.28571428571428</v>
      </c>
      <c r="G230" s="212">
        <f t="shared" si="50"/>
        <v>0</v>
      </c>
      <c r="H230" s="1">
        <f>$H$8/3.5</f>
        <v>276</v>
      </c>
      <c r="I230" s="212">
        <f t="shared" si="51"/>
        <v>0</v>
      </c>
      <c r="J230" s="168"/>
    </row>
    <row r="231" spans="1:82" s="155" customFormat="1" ht="25.5" x14ac:dyDescent="0.25">
      <c r="A231" s="9"/>
      <c r="B231" s="233" t="s">
        <v>250</v>
      </c>
      <c r="C231" s="191" t="s">
        <v>380</v>
      </c>
      <c r="D231" s="22"/>
      <c r="E231" s="22" t="s">
        <v>12</v>
      </c>
      <c r="F231" s="25">
        <f>$F$8</f>
        <v>743</v>
      </c>
      <c r="G231" s="25">
        <f>IF(D231=0,0,IF(D231*$F$8&lt;=2*$F$8,2*$F$8,D231*$F$8))</f>
        <v>0</v>
      </c>
      <c r="H231" s="25">
        <f>$H$8</f>
        <v>966</v>
      </c>
      <c r="I231" s="115">
        <f>IF(D231=0,0,IF(D231*$H$8&lt;=2*$F$8,2*$H$8,D231*$H$8))</f>
        <v>0</v>
      </c>
      <c r="J231" s="120" t="s">
        <v>326</v>
      </c>
    </row>
    <row r="232" spans="1:82" s="155" customFormat="1" ht="25.5" x14ac:dyDescent="0.25">
      <c r="A232" s="80"/>
      <c r="B232" s="4" t="s">
        <v>229</v>
      </c>
      <c r="C232" s="15">
        <v>7.13</v>
      </c>
      <c r="D232" s="80"/>
      <c r="E232" s="15"/>
      <c r="F232" s="1"/>
      <c r="G232" s="161"/>
      <c r="H232" s="1"/>
      <c r="I232" s="161"/>
      <c r="J232" s="168" t="s">
        <v>324</v>
      </c>
    </row>
    <row r="233" spans="1:82" s="155" customFormat="1" x14ac:dyDescent="0.25">
      <c r="A233" s="2"/>
      <c r="B233" s="90" t="s">
        <v>230</v>
      </c>
      <c r="C233" s="66">
        <v>1.1299999999999999</v>
      </c>
      <c r="D233" s="52"/>
      <c r="E233" s="66" t="s">
        <v>60</v>
      </c>
      <c r="F233" s="50">
        <v>20</v>
      </c>
      <c r="G233" s="58">
        <f>IF(D233=0,0,IF(D233*F233&lt;400,400,D233*F233))</f>
        <v>0</v>
      </c>
      <c r="H233" s="50">
        <v>20</v>
      </c>
      <c r="I233" s="58">
        <f>IF(D233=0,0,IF(D233*H233&lt;400,400,D233*H233))</f>
        <v>0</v>
      </c>
      <c r="J233" s="168"/>
    </row>
    <row r="234" spans="1:82" s="185" customFormat="1" x14ac:dyDescent="0.25">
      <c r="A234" s="3"/>
      <c r="B234" s="119" t="s">
        <v>310</v>
      </c>
      <c r="C234" s="188"/>
      <c r="D234" s="22"/>
      <c r="E234" s="22"/>
      <c r="F234" s="25"/>
      <c r="G234" s="25">
        <f>SUM(G167:G233)</f>
        <v>0</v>
      </c>
      <c r="H234" s="25"/>
      <c r="I234" s="25">
        <f>SUM(I167:I233)</f>
        <v>0</v>
      </c>
      <c r="J234" s="120"/>
    </row>
    <row r="235" spans="1:82" s="204" customFormat="1" x14ac:dyDescent="0.25">
      <c r="A235" s="224"/>
      <c r="B235" s="234"/>
      <c r="C235" s="203"/>
      <c r="D235" s="227"/>
      <c r="E235" s="203"/>
      <c r="F235" s="228"/>
      <c r="G235" s="228"/>
      <c r="H235" s="87"/>
      <c r="I235" s="228"/>
      <c r="J235" s="110"/>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row>
    <row r="236" spans="1:82" x14ac:dyDescent="0.25">
      <c r="A236" s="235">
        <v>5</v>
      </c>
      <c r="B236" s="236" t="s">
        <v>90</v>
      </c>
      <c r="C236" s="237">
        <v>11</v>
      </c>
      <c r="D236" s="181"/>
      <c r="E236" s="79"/>
      <c r="F236" s="161"/>
      <c r="G236" s="7"/>
      <c r="H236" s="161"/>
      <c r="I236" s="7"/>
      <c r="J236" s="478" t="s">
        <v>382</v>
      </c>
      <c r="L236" s="196"/>
    </row>
    <row r="237" spans="1:82" x14ac:dyDescent="0.25">
      <c r="A237" s="238"/>
      <c r="B237" s="236" t="s">
        <v>263</v>
      </c>
      <c r="C237" s="239"/>
      <c r="D237" s="181">
        <v>1</v>
      </c>
      <c r="E237" s="80" t="s">
        <v>262</v>
      </c>
      <c r="F237" s="161"/>
      <c r="G237" s="1"/>
      <c r="H237" s="161"/>
      <c r="I237" s="1"/>
      <c r="J237" s="479"/>
      <c r="L237" s="196"/>
    </row>
    <row r="238" spans="1:82" s="155" customFormat="1" x14ac:dyDescent="0.25">
      <c r="A238" s="239"/>
      <c r="B238" s="240" t="s">
        <v>213</v>
      </c>
      <c r="C238" s="239">
        <v>11.1</v>
      </c>
      <c r="D238" s="241"/>
      <c r="E238" s="239"/>
      <c r="F238" s="242"/>
      <c r="G238" s="243"/>
      <c r="H238" s="242"/>
      <c r="I238" s="243"/>
      <c r="J238" s="479"/>
      <c r="L238" s="244"/>
    </row>
    <row r="239" spans="1:82" s="155" customFormat="1" x14ac:dyDescent="0.25">
      <c r="A239" s="239"/>
      <c r="B239" s="240" t="s">
        <v>296</v>
      </c>
      <c r="C239" s="239"/>
      <c r="D239" s="241"/>
      <c r="E239" s="239" t="s">
        <v>264</v>
      </c>
      <c r="F239" s="95">
        <f>0.5*(5*$D$237*10000)*(2*1000+$F$8/1.6)</f>
        <v>61609375</v>
      </c>
      <c r="G239" s="245">
        <f>D239*F239</f>
        <v>0</v>
      </c>
      <c r="H239" s="95">
        <f>0.5*(5*$D$237*10000)*(2*1000+$H$8/1.6)</f>
        <v>65093750</v>
      </c>
      <c r="I239" s="245">
        <f t="shared" ref="I239:I249" si="52">D239*H239</f>
        <v>0</v>
      </c>
      <c r="J239" s="479"/>
      <c r="L239" s="244"/>
    </row>
    <row r="240" spans="1:82" s="155" customFormat="1" x14ac:dyDescent="0.25">
      <c r="A240" s="239"/>
      <c r="B240" s="240" t="s">
        <v>91</v>
      </c>
      <c r="C240" s="239"/>
      <c r="D240" s="241"/>
      <c r="E240" s="239" t="s">
        <v>264</v>
      </c>
      <c r="F240" s="242">
        <f>(24*$D$237)*0.5</f>
        <v>12</v>
      </c>
      <c r="G240" s="245">
        <f>D240*F240</f>
        <v>0</v>
      </c>
      <c r="H240" s="242">
        <f>(24*$D$237)*0.5</f>
        <v>12</v>
      </c>
      <c r="I240" s="245">
        <f t="shared" si="52"/>
        <v>0</v>
      </c>
      <c r="J240" s="479"/>
      <c r="L240" s="244"/>
    </row>
    <row r="241" spans="1:95" s="155" customFormat="1" x14ac:dyDescent="0.25">
      <c r="A241" s="239"/>
      <c r="B241" s="240" t="s">
        <v>211</v>
      </c>
      <c r="C241" s="239">
        <v>11.1</v>
      </c>
      <c r="D241" s="241"/>
      <c r="E241" s="239"/>
      <c r="F241" s="242"/>
      <c r="G241" s="243"/>
      <c r="H241" s="242"/>
      <c r="I241" s="243"/>
      <c r="J241" s="479"/>
      <c r="L241" s="244"/>
    </row>
    <row r="242" spans="1:95" s="155" customFormat="1" x14ac:dyDescent="0.25">
      <c r="A242" s="239"/>
      <c r="B242" s="240" t="s">
        <v>296</v>
      </c>
      <c r="C242" s="239"/>
      <c r="D242" s="241"/>
      <c r="E242" s="239" t="s">
        <v>264</v>
      </c>
      <c r="F242" s="95">
        <f>(5*$D$237*10000)*(2*1000+$F$8/1.6)</f>
        <v>123218750</v>
      </c>
      <c r="G242" s="245">
        <f>D242*F242</f>
        <v>0</v>
      </c>
      <c r="H242" s="95">
        <f>(5*$D$237*10000)*(2*1000+$H$8/1.6)</f>
        <v>130187500</v>
      </c>
      <c r="I242" s="245">
        <f t="shared" si="52"/>
        <v>0</v>
      </c>
      <c r="J242" s="479"/>
      <c r="L242" s="244"/>
    </row>
    <row r="243" spans="1:95" s="155" customFormat="1" x14ac:dyDescent="0.25">
      <c r="A243" s="239"/>
      <c r="B243" s="240" t="s">
        <v>91</v>
      </c>
      <c r="C243" s="239"/>
      <c r="D243" s="241"/>
      <c r="E243" s="239" t="s">
        <v>264</v>
      </c>
      <c r="F243" s="242">
        <f>(24*$D$237)</f>
        <v>24</v>
      </c>
      <c r="G243" s="245">
        <f>D243*F243</f>
        <v>0</v>
      </c>
      <c r="H243" s="242">
        <f>(24*$D$237)</f>
        <v>24</v>
      </c>
      <c r="I243" s="245">
        <f t="shared" si="52"/>
        <v>0</v>
      </c>
      <c r="J243" s="479"/>
      <c r="L243" s="244"/>
    </row>
    <row r="244" spans="1:95" s="155" customFormat="1" x14ac:dyDescent="0.25">
      <c r="A244" s="239"/>
      <c r="B244" s="240" t="s">
        <v>212</v>
      </c>
      <c r="C244" s="239">
        <v>11.1</v>
      </c>
      <c r="D244" s="241"/>
      <c r="E244" s="239"/>
      <c r="F244" s="242"/>
      <c r="G244" s="243"/>
      <c r="H244" s="242"/>
      <c r="I244" s="243"/>
      <c r="J244" s="479"/>
      <c r="L244" s="244"/>
    </row>
    <row r="245" spans="1:95" s="155" customFormat="1" x14ac:dyDescent="0.25">
      <c r="A245" s="239"/>
      <c r="B245" s="240" t="s">
        <v>296</v>
      </c>
      <c r="C245" s="239"/>
      <c r="D245" s="241"/>
      <c r="E245" s="239" t="s">
        <v>264</v>
      </c>
      <c r="F245" s="95">
        <f>1.5*(5*$D$237*10000)*(2*1000+$F$8/1.6)</f>
        <v>184828125</v>
      </c>
      <c r="G245" s="245">
        <f>D245*F245</f>
        <v>0</v>
      </c>
      <c r="H245" s="95">
        <f>1.5*(5*$D$237*10000)*(2*1000+$H$8/1.6)</f>
        <v>195281250</v>
      </c>
      <c r="I245" s="245">
        <f t="shared" si="52"/>
        <v>0</v>
      </c>
      <c r="J245" s="479"/>
      <c r="L245" s="244"/>
    </row>
    <row r="246" spans="1:95" s="155" customFormat="1" x14ac:dyDescent="0.25">
      <c r="A246" s="239"/>
      <c r="B246" s="240" t="s">
        <v>91</v>
      </c>
      <c r="C246" s="239"/>
      <c r="D246" s="241"/>
      <c r="E246" s="239" t="s">
        <v>264</v>
      </c>
      <c r="F246" s="242">
        <f>(24*$D$237)*1.5</f>
        <v>36</v>
      </c>
      <c r="G246" s="245">
        <f>D246*F246</f>
        <v>0</v>
      </c>
      <c r="H246" s="242">
        <f>(24*$D$237)*1.5</f>
        <v>36</v>
      </c>
      <c r="I246" s="245">
        <f t="shared" si="52"/>
        <v>0</v>
      </c>
      <c r="J246" s="479"/>
      <c r="L246" s="244"/>
    </row>
    <row r="247" spans="1:95" s="155" customFormat="1" x14ac:dyDescent="0.25">
      <c r="A247" s="239"/>
      <c r="B247" s="240" t="s">
        <v>214</v>
      </c>
      <c r="C247" s="239">
        <v>11.1</v>
      </c>
      <c r="D247" s="241"/>
      <c r="E247" s="239"/>
      <c r="F247" s="242"/>
      <c r="G247" s="243"/>
      <c r="H247" s="242"/>
      <c r="I247" s="243"/>
      <c r="J247" s="479"/>
      <c r="L247" s="244"/>
    </row>
    <row r="248" spans="1:95" s="155" customFormat="1" x14ac:dyDescent="0.25">
      <c r="A248" s="239"/>
      <c r="B248" s="240" t="s">
        <v>296</v>
      </c>
      <c r="C248" s="239"/>
      <c r="D248" s="241"/>
      <c r="E248" s="239" t="s">
        <v>264</v>
      </c>
      <c r="F248" s="95">
        <f>2*(5*$D$237*10000)*(2*1000+$F$8/1.6)</f>
        <v>246437500</v>
      </c>
      <c r="G248" s="245">
        <f>D248*F248</f>
        <v>0</v>
      </c>
      <c r="H248" s="95">
        <f>2*(5*$D$237*10000)*(2*1000+$H$8/1.6)</f>
        <v>260375000</v>
      </c>
      <c r="I248" s="245">
        <f t="shared" si="52"/>
        <v>0</v>
      </c>
      <c r="J248" s="479"/>
      <c r="L248" s="244"/>
    </row>
    <row r="249" spans="1:95" s="155" customFormat="1" x14ac:dyDescent="0.25">
      <c r="A249" s="239"/>
      <c r="B249" s="240" t="s">
        <v>91</v>
      </c>
      <c r="C249" s="239"/>
      <c r="D249" s="241"/>
      <c r="E249" s="239" t="s">
        <v>264</v>
      </c>
      <c r="F249" s="242">
        <f>(24*$D$237)*2</f>
        <v>48</v>
      </c>
      <c r="G249" s="246">
        <f>D249*F249</f>
        <v>0</v>
      </c>
      <c r="H249" s="242">
        <f>(24*$D$237)*2</f>
        <v>48</v>
      </c>
      <c r="I249" s="246">
        <f t="shared" si="52"/>
        <v>0</v>
      </c>
      <c r="J249" s="480"/>
      <c r="L249" s="244"/>
    </row>
    <row r="250" spans="1:95" s="185" customFormat="1" x14ac:dyDescent="0.25">
      <c r="A250" s="2"/>
      <c r="B250" s="180" t="s">
        <v>66</v>
      </c>
      <c r="C250" s="247"/>
      <c r="D250" s="79"/>
      <c r="E250" s="79"/>
      <c r="F250" s="248"/>
      <c r="G250" s="7">
        <f>SUM(G239:G249)</f>
        <v>0</v>
      </c>
      <c r="H250" s="249"/>
      <c r="I250" s="7">
        <f>SUM(I239:I249)</f>
        <v>0</v>
      </c>
      <c r="J250" s="177"/>
    </row>
    <row r="251" spans="1:95" s="185" customFormat="1" x14ac:dyDescent="0.25">
      <c r="A251" s="80"/>
      <c r="B251" s="250" t="s">
        <v>297</v>
      </c>
      <c r="C251" s="22">
        <v>11.2</v>
      </c>
      <c r="D251" s="191"/>
      <c r="E251" s="251">
        <v>0.2</v>
      </c>
      <c r="F251" s="25"/>
      <c r="G251" s="25">
        <f>(G250+E251)/100</f>
        <v>2E-3</v>
      </c>
      <c r="H251" s="25"/>
      <c r="I251" s="25">
        <f>(I250+E251)/100</f>
        <v>2E-3</v>
      </c>
      <c r="J251" s="252"/>
      <c r="L251" s="253"/>
    </row>
    <row r="252" spans="1:95" s="185" customFormat="1" x14ac:dyDescent="0.25">
      <c r="A252" s="9"/>
      <c r="B252" s="122" t="s">
        <v>215</v>
      </c>
      <c r="C252" s="81">
        <v>12</v>
      </c>
      <c r="D252" s="254"/>
      <c r="E252" s="255" t="s">
        <v>62</v>
      </c>
      <c r="F252" s="10"/>
      <c r="G252" s="10">
        <f>F252*1.25</f>
        <v>0</v>
      </c>
      <c r="H252" s="10"/>
      <c r="I252" s="10">
        <f>H252*1.25</f>
        <v>0</v>
      </c>
      <c r="J252" s="121" t="s">
        <v>328</v>
      </c>
      <c r="L252" s="253"/>
    </row>
    <row r="253" spans="1:95" s="185" customFormat="1" x14ac:dyDescent="0.25">
      <c r="A253" s="3"/>
      <c r="B253" s="119" t="s">
        <v>392</v>
      </c>
      <c r="C253" s="188"/>
      <c r="D253" s="22"/>
      <c r="E253" s="22"/>
      <c r="F253" s="25"/>
      <c r="G253" s="25">
        <f>SUM(G250:G252)</f>
        <v>2E-3</v>
      </c>
      <c r="H253" s="25"/>
      <c r="I253" s="25">
        <f>SUM(I250:I252)</f>
        <v>2E-3</v>
      </c>
      <c r="J253" s="120"/>
    </row>
    <row r="254" spans="1:95" s="204" customFormat="1" x14ac:dyDescent="0.25">
      <c r="A254" s="224"/>
      <c r="B254" s="234"/>
      <c r="C254" s="203"/>
      <c r="D254" s="227"/>
      <c r="E254" s="203"/>
      <c r="F254" s="228"/>
      <c r="G254" s="228"/>
      <c r="H254" s="87"/>
      <c r="I254" s="228"/>
      <c r="J254" s="110"/>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row>
    <row r="255" spans="1:95" ht="25.5" x14ac:dyDescent="0.25">
      <c r="A255" s="149">
        <v>6</v>
      </c>
      <c r="B255" s="256" t="s">
        <v>235</v>
      </c>
      <c r="C255" s="15"/>
      <c r="D255" s="257"/>
      <c r="E255" s="15"/>
      <c r="F255" s="1"/>
      <c r="G255" s="161"/>
      <c r="H255" s="123"/>
      <c r="I255" s="161"/>
      <c r="J255" s="108" t="s">
        <v>340</v>
      </c>
    </row>
    <row r="256" spans="1:95" s="159" customFormat="1" ht="76.5" x14ac:dyDescent="0.25">
      <c r="A256" s="80"/>
      <c r="B256" s="157" t="s">
        <v>13</v>
      </c>
      <c r="C256" s="5">
        <v>14.1</v>
      </c>
      <c r="D256" s="79"/>
      <c r="E256" s="5"/>
      <c r="F256" s="7"/>
      <c r="G256" s="158"/>
      <c r="H256" s="7"/>
      <c r="I256" s="158"/>
      <c r="J256" s="99" t="s">
        <v>348</v>
      </c>
      <c r="K256" s="155"/>
      <c r="L256" s="155"/>
      <c r="M256" s="155"/>
      <c r="N256" s="155"/>
      <c r="O256" s="155"/>
      <c r="P256" s="155"/>
      <c r="Q256" s="155"/>
      <c r="R256" s="155"/>
      <c r="S256" s="155"/>
      <c r="T256" s="155"/>
      <c r="U256" s="155"/>
      <c r="V256" s="155"/>
      <c r="W256" s="155"/>
      <c r="X256" s="155"/>
      <c r="Y256" s="155"/>
      <c r="Z256" s="155"/>
      <c r="AA256" s="155"/>
      <c r="AB256" s="155"/>
      <c r="AC256" s="155"/>
      <c r="AD256" s="155"/>
      <c r="AE256" s="155"/>
      <c r="AF256" s="155"/>
      <c r="AG256" s="155"/>
      <c r="AH256" s="155"/>
      <c r="AI256" s="155"/>
      <c r="AJ256" s="155"/>
      <c r="AK256" s="155"/>
      <c r="AL256" s="155"/>
      <c r="AM256" s="155"/>
      <c r="AN256" s="155"/>
      <c r="AO256" s="155"/>
      <c r="AP256" s="155"/>
      <c r="AQ256" s="155"/>
      <c r="AR256" s="155"/>
      <c r="AS256" s="155"/>
      <c r="AT256" s="155"/>
      <c r="AU256" s="155"/>
      <c r="AV256" s="155"/>
      <c r="AW256" s="155"/>
      <c r="AX256" s="155"/>
      <c r="AY256" s="155"/>
      <c r="AZ256" s="155"/>
      <c r="BA256" s="155"/>
      <c r="BB256" s="155"/>
      <c r="BC256" s="155"/>
      <c r="BD256" s="155"/>
      <c r="BE256" s="155"/>
      <c r="BF256" s="155"/>
      <c r="BG256" s="155"/>
      <c r="BH256" s="155"/>
      <c r="BI256" s="155"/>
      <c r="BJ256" s="155"/>
      <c r="BK256" s="155"/>
      <c r="BL256" s="155"/>
      <c r="BM256" s="155"/>
      <c r="BN256" s="155"/>
      <c r="BO256" s="155"/>
      <c r="BP256" s="155"/>
      <c r="BQ256" s="155"/>
      <c r="BR256" s="155"/>
      <c r="BS256" s="155"/>
      <c r="BT256" s="155"/>
      <c r="BU256" s="155"/>
      <c r="BV256" s="155"/>
      <c r="BW256" s="155"/>
      <c r="BX256" s="155"/>
      <c r="BY256" s="155"/>
      <c r="BZ256" s="155"/>
      <c r="CA256" s="155"/>
      <c r="CB256" s="155"/>
      <c r="CC256" s="155"/>
      <c r="CD256" s="155"/>
      <c r="CE256" s="155"/>
      <c r="CF256" s="155"/>
      <c r="CG256" s="155"/>
      <c r="CH256" s="155"/>
      <c r="CI256" s="155"/>
      <c r="CJ256" s="155"/>
      <c r="CK256" s="155"/>
      <c r="CL256" s="155"/>
      <c r="CM256" s="155"/>
      <c r="CN256" s="155"/>
      <c r="CO256" s="155"/>
      <c r="CP256" s="155"/>
      <c r="CQ256" s="155"/>
    </row>
    <row r="257" spans="1:95" s="155" customFormat="1" x14ac:dyDescent="0.25">
      <c r="A257" s="80"/>
      <c r="B257" s="160" t="s">
        <v>14</v>
      </c>
      <c r="C257" s="15">
        <v>1.3</v>
      </c>
      <c r="D257" s="80"/>
      <c r="E257" s="15" t="s">
        <v>12</v>
      </c>
      <c r="F257" s="1">
        <f>$F$8</f>
        <v>743</v>
      </c>
      <c r="G257" s="161">
        <f>D257*F257</f>
        <v>0</v>
      </c>
      <c r="H257" s="1">
        <f>$H$8</f>
        <v>966</v>
      </c>
      <c r="I257" s="161">
        <f>D257*H257</f>
        <v>0</v>
      </c>
      <c r="J257" s="100"/>
    </row>
    <row r="258" spans="1:95" s="155" customFormat="1" x14ac:dyDescent="0.25">
      <c r="A258" s="80"/>
      <c r="B258" s="160" t="s">
        <v>35</v>
      </c>
      <c r="C258" s="15">
        <v>1.3</v>
      </c>
      <c r="D258" s="80"/>
      <c r="E258" s="15" t="s">
        <v>12</v>
      </c>
      <c r="F258" s="1">
        <f>$F$8*2</f>
        <v>1486</v>
      </c>
      <c r="G258" s="161">
        <f t="shared" ref="G258:G259" si="53">D258*F258</f>
        <v>0</v>
      </c>
      <c r="H258" s="1">
        <f>$H$8*2</f>
        <v>1932</v>
      </c>
      <c r="I258" s="161">
        <f t="shared" ref="I258:I268" si="54">D258*H258</f>
        <v>0</v>
      </c>
      <c r="J258" s="100"/>
    </row>
    <row r="259" spans="1:95" s="164" customFormat="1" x14ac:dyDescent="0.25">
      <c r="A259" s="80"/>
      <c r="B259" s="162" t="s">
        <v>111</v>
      </c>
      <c r="C259" s="17">
        <v>1.3</v>
      </c>
      <c r="D259" s="81"/>
      <c r="E259" s="17" t="s">
        <v>12</v>
      </c>
      <c r="F259" s="10">
        <f>$F$8*3</f>
        <v>2229</v>
      </c>
      <c r="G259" s="163">
        <f t="shared" si="53"/>
        <v>0</v>
      </c>
      <c r="H259" s="10">
        <f>$H$8*3</f>
        <v>2898</v>
      </c>
      <c r="I259" s="163">
        <f t="shared" si="54"/>
        <v>0</v>
      </c>
      <c r="J259" s="101"/>
      <c r="K259" s="155"/>
      <c r="L259" s="155"/>
      <c r="M259" s="155"/>
      <c r="N259" s="155"/>
      <c r="O259" s="155"/>
      <c r="P259" s="155"/>
      <c r="Q259" s="155"/>
      <c r="R259" s="155"/>
      <c r="S259" s="155"/>
      <c r="T259" s="155"/>
      <c r="U259" s="155"/>
      <c r="V259" s="155"/>
      <c r="W259" s="155"/>
      <c r="X259" s="155"/>
      <c r="Y259" s="155"/>
      <c r="Z259" s="155"/>
      <c r="AA259" s="155"/>
      <c r="AB259" s="155"/>
      <c r="AC259" s="155"/>
      <c r="AD259" s="155"/>
      <c r="AE259" s="155"/>
      <c r="AF259" s="155"/>
      <c r="AG259" s="155"/>
      <c r="AH259" s="155"/>
      <c r="AI259" s="155"/>
      <c r="AJ259" s="155"/>
      <c r="AK259" s="155"/>
      <c r="AL259" s="155"/>
      <c r="AM259" s="155"/>
      <c r="AN259" s="155"/>
      <c r="AO259" s="155"/>
      <c r="AP259" s="155"/>
      <c r="AQ259" s="155"/>
      <c r="AR259" s="155"/>
      <c r="AS259" s="155"/>
      <c r="AT259" s="155"/>
      <c r="AU259" s="155"/>
      <c r="AV259" s="155"/>
      <c r="AW259" s="155"/>
      <c r="AX259" s="155"/>
      <c r="AY259" s="155"/>
      <c r="AZ259" s="155"/>
      <c r="BA259" s="155"/>
      <c r="BB259" s="155"/>
      <c r="BC259" s="155"/>
      <c r="BD259" s="155"/>
      <c r="BE259" s="155"/>
      <c r="BF259" s="155"/>
      <c r="BG259" s="155"/>
      <c r="BH259" s="155"/>
      <c r="BI259" s="155"/>
      <c r="BJ259" s="155"/>
      <c r="BK259" s="155"/>
      <c r="BL259" s="155"/>
      <c r="BM259" s="155"/>
      <c r="BN259" s="155"/>
      <c r="BO259" s="155"/>
      <c r="BP259" s="155"/>
      <c r="BQ259" s="155"/>
      <c r="BR259" s="155"/>
      <c r="BS259" s="155"/>
      <c r="BT259" s="155"/>
      <c r="BU259" s="155"/>
      <c r="BV259" s="155"/>
      <c r="BW259" s="155"/>
      <c r="BX259" s="155"/>
      <c r="BY259" s="155"/>
      <c r="BZ259" s="155"/>
      <c r="CA259" s="155"/>
      <c r="CB259" s="155"/>
      <c r="CC259" s="155"/>
      <c r="CD259" s="155"/>
      <c r="CE259" s="155"/>
      <c r="CF259" s="155"/>
      <c r="CG259" s="155"/>
      <c r="CH259" s="155"/>
      <c r="CI259" s="155"/>
      <c r="CJ259" s="155"/>
      <c r="CK259" s="155"/>
      <c r="CL259" s="155"/>
      <c r="CM259" s="155"/>
      <c r="CN259" s="155"/>
      <c r="CO259" s="155"/>
      <c r="CP259" s="155"/>
      <c r="CQ259" s="155"/>
    </row>
    <row r="260" spans="1:95" s="159" customFormat="1" ht="127.5" x14ac:dyDescent="0.25">
      <c r="A260" s="80"/>
      <c r="B260" s="170" t="s">
        <v>21</v>
      </c>
      <c r="C260" s="61">
        <v>14.2</v>
      </c>
      <c r="D260" s="53"/>
      <c r="E260" s="63"/>
      <c r="F260" s="54"/>
      <c r="G260" s="56"/>
      <c r="H260" s="54"/>
      <c r="I260" s="56"/>
      <c r="J260" s="99" t="s">
        <v>386</v>
      </c>
      <c r="K260" s="464" t="s">
        <v>399</v>
      </c>
      <c r="L260" s="465"/>
      <c r="M260" s="155"/>
      <c r="N260" s="155"/>
      <c r="O260" s="155"/>
      <c r="P260" s="155"/>
      <c r="Q260" s="155"/>
      <c r="R260" s="155"/>
      <c r="S260" s="155"/>
      <c r="T260" s="155"/>
      <c r="U260" s="155"/>
      <c r="V260" s="155"/>
      <c r="W260" s="155"/>
      <c r="X260" s="155"/>
      <c r="Y260" s="155"/>
      <c r="Z260" s="155"/>
      <c r="AA260" s="155"/>
      <c r="AB260" s="155"/>
      <c r="AC260" s="155"/>
      <c r="AD260" s="155"/>
      <c r="AE260" s="155"/>
      <c r="AF260" s="155"/>
      <c r="AG260" s="155"/>
      <c r="AH260" s="155"/>
      <c r="AI260" s="155"/>
      <c r="AJ260" s="155"/>
      <c r="AK260" s="155"/>
      <c r="AL260" s="155"/>
      <c r="AM260" s="155"/>
      <c r="AN260" s="155"/>
      <c r="AO260" s="155"/>
      <c r="AP260" s="155"/>
      <c r="AQ260" s="155"/>
      <c r="AR260" s="155"/>
      <c r="AS260" s="155"/>
      <c r="AT260" s="155"/>
      <c r="AU260" s="155"/>
      <c r="AV260" s="155"/>
      <c r="AW260" s="155"/>
      <c r="AX260" s="155"/>
      <c r="AY260" s="155"/>
      <c r="AZ260" s="155"/>
      <c r="BA260" s="155"/>
      <c r="BB260" s="155"/>
      <c r="BC260" s="155"/>
      <c r="BD260" s="155"/>
      <c r="BE260" s="155"/>
      <c r="BF260" s="155"/>
      <c r="BG260" s="155"/>
      <c r="BH260" s="155"/>
      <c r="BI260" s="155"/>
      <c r="BJ260" s="155"/>
      <c r="BK260" s="155"/>
      <c r="BL260" s="155"/>
      <c r="BM260" s="155"/>
      <c r="BN260" s="155"/>
      <c r="BO260" s="155"/>
      <c r="BP260" s="155"/>
      <c r="BQ260" s="155"/>
      <c r="BR260" s="155"/>
      <c r="BS260" s="155"/>
      <c r="BT260" s="155"/>
      <c r="BU260" s="155"/>
      <c r="BV260" s="155"/>
      <c r="BW260" s="155"/>
      <c r="BX260" s="155"/>
      <c r="BY260" s="155"/>
      <c r="BZ260" s="155"/>
      <c r="CA260" s="155"/>
      <c r="CB260" s="155"/>
      <c r="CC260" s="155"/>
      <c r="CD260" s="155"/>
      <c r="CE260" s="155"/>
      <c r="CF260" s="155"/>
      <c r="CG260" s="155"/>
      <c r="CH260" s="155"/>
      <c r="CI260" s="155"/>
      <c r="CJ260" s="155"/>
      <c r="CK260" s="155"/>
      <c r="CL260" s="155"/>
      <c r="CM260" s="155"/>
      <c r="CN260" s="155"/>
      <c r="CO260" s="155"/>
      <c r="CP260" s="155"/>
      <c r="CQ260" s="155"/>
    </row>
    <row r="261" spans="1:95" s="155" customFormat="1" ht="25.5" x14ac:dyDescent="0.25">
      <c r="A261" s="80"/>
      <c r="B261" s="77" t="s">
        <v>132</v>
      </c>
      <c r="C261" s="64" t="s">
        <v>22</v>
      </c>
      <c r="D261" s="46"/>
      <c r="E261" s="64" t="s">
        <v>69</v>
      </c>
      <c r="F261" s="47">
        <f>2*1000</f>
        <v>2000</v>
      </c>
      <c r="G261" s="58">
        <f>D261*F261</f>
        <v>0</v>
      </c>
      <c r="H261" s="47">
        <f>2.6*1000</f>
        <v>2600</v>
      </c>
      <c r="I261" s="58">
        <f t="shared" si="54"/>
        <v>0</v>
      </c>
      <c r="J261" s="165" t="s">
        <v>182</v>
      </c>
    </row>
    <row r="262" spans="1:95" s="164" customFormat="1" ht="25.5" x14ac:dyDescent="0.25">
      <c r="A262" s="80"/>
      <c r="B262" s="90" t="s">
        <v>133</v>
      </c>
      <c r="C262" s="66" t="s">
        <v>22</v>
      </c>
      <c r="D262" s="49"/>
      <c r="E262" s="66" t="s">
        <v>69</v>
      </c>
      <c r="F262" s="50">
        <f>2.5*1000</f>
        <v>2500</v>
      </c>
      <c r="G262" s="60">
        <f>D262*F262</f>
        <v>0</v>
      </c>
      <c r="H262" s="50">
        <f>3.25*1000</f>
        <v>3250</v>
      </c>
      <c r="I262" s="60">
        <f t="shared" si="54"/>
        <v>0</v>
      </c>
      <c r="J262" s="102" t="s">
        <v>183</v>
      </c>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c r="AG262" s="155"/>
      <c r="AH262" s="155"/>
      <c r="AI262" s="155"/>
      <c r="AJ262" s="155"/>
      <c r="AK262" s="155"/>
      <c r="AL262" s="155"/>
      <c r="AM262" s="155"/>
      <c r="AN262" s="155"/>
      <c r="AO262" s="155"/>
      <c r="AP262" s="155"/>
      <c r="AQ262" s="155"/>
      <c r="AR262" s="155"/>
      <c r="AS262" s="155"/>
      <c r="AT262" s="155"/>
      <c r="AU262" s="155"/>
      <c r="AV262" s="155"/>
      <c r="AW262" s="155"/>
      <c r="AX262" s="155"/>
      <c r="AY262" s="155"/>
      <c r="AZ262" s="155"/>
      <c r="BA262" s="155"/>
      <c r="BB262" s="155"/>
      <c r="BC262" s="155"/>
      <c r="BD262" s="155"/>
      <c r="BE262" s="155"/>
      <c r="BF262" s="155"/>
      <c r="BG262" s="155"/>
      <c r="BH262" s="155"/>
      <c r="BI262" s="155"/>
      <c r="BJ262" s="155"/>
      <c r="BK262" s="155"/>
      <c r="BL262" s="155"/>
      <c r="BM262" s="155"/>
      <c r="BN262" s="155"/>
      <c r="BO262" s="155"/>
      <c r="BP262" s="155"/>
      <c r="BQ262" s="155"/>
      <c r="BR262" s="155"/>
      <c r="BS262" s="155"/>
      <c r="BT262" s="155"/>
      <c r="BU262" s="155"/>
      <c r="BV262" s="155"/>
      <c r="BW262" s="155"/>
      <c r="BX262" s="155"/>
      <c r="BY262" s="155"/>
      <c r="BZ262" s="155"/>
      <c r="CA262" s="155"/>
      <c r="CB262" s="155"/>
      <c r="CC262" s="155"/>
      <c r="CD262" s="155"/>
      <c r="CE262" s="155"/>
      <c r="CF262" s="155"/>
      <c r="CG262" s="155"/>
      <c r="CH262" s="155"/>
      <c r="CI262" s="155"/>
      <c r="CJ262" s="155"/>
      <c r="CK262" s="155"/>
      <c r="CL262" s="155"/>
      <c r="CM262" s="155"/>
      <c r="CN262" s="155"/>
      <c r="CO262" s="155"/>
      <c r="CP262" s="155"/>
      <c r="CQ262" s="155"/>
    </row>
    <row r="263" spans="1:95" s="155" customFormat="1" x14ac:dyDescent="0.25">
      <c r="A263" s="80"/>
      <c r="B263" s="157" t="s">
        <v>23</v>
      </c>
      <c r="C263" s="5">
        <v>14.3</v>
      </c>
      <c r="D263" s="166"/>
      <c r="E263" s="5"/>
      <c r="F263" s="7"/>
      <c r="G263" s="158"/>
      <c r="H263" s="7"/>
      <c r="I263" s="158"/>
      <c r="J263" s="167"/>
    </row>
    <row r="264" spans="1:95" s="155" customFormat="1" ht="25.5" x14ac:dyDescent="0.25">
      <c r="A264" s="80"/>
      <c r="B264" s="13" t="s">
        <v>135</v>
      </c>
      <c r="C264" s="15" t="s">
        <v>24</v>
      </c>
      <c r="D264" s="80"/>
      <c r="E264" s="15" t="s">
        <v>69</v>
      </c>
      <c r="F264" s="1">
        <f>$F$8/1.6</f>
        <v>464.375</v>
      </c>
      <c r="G264" s="161">
        <f>D264*F264</f>
        <v>0</v>
      </c>
      <c r="H264" s="1">
        <f>$H$8/1.6</f>
        <v>603.75</v>
      </c>
      <c r="I264" s="161">
        <f t="shared" si="54"/>
        <v>0</v>
      </c>
      <c r="J264" s="168" t="s">
        <v>424</v>
      </c>
    </row>
    <row r="265" spans="1:95" s="155" customFormat="1" x14ac:dyDescent="0.25">
      <c r="A265" s="80"/>
      <c r="B265" s="13" t="s">
        <v>134</v>
      </c>
      <c r="C265" s="15" t="s">
        <v>24</v>
      </c>
      <c r="D265" s="80"/>
      <c r="E265" s="15" t="s">
        <v>69</v>
      </c>
      <c r="F265" s="1">
        <f>$F$8/1</f>
        <v>743</v>
      </c>
      <c r="G265" s="161">
        <f>D265*F265</f>
        <v>0</v>
      </c>
      <c r="H265" s="1">
        <f>$H$8/1</f>
        <v>966</v>
      </c>
      <c r="I265" s="161">
        <f t="shared" si="54"/>
        <v>0</v>
      </c>
      <c r="J265" s="169" t="s">
        <v>184</v>
      </c>
    </row>
    <row r="266" spans="1:95" s="159" customFormat="1" x14ac:dyDescent="0.25">
      <c r="A266" s="80"/>
      <c r="B266" s="170" t="s">
        <v>232</v>
      </c>
      <c r="C266" s="61">
        <v>14.4</v>
      </c>
      <c r="D266" s="171"/>
      <c r="E266" s="61"/>
      <c r="F266" s="44"/>
      <c r="G266" s="56"/>
      <c r="H266" s="44"/>
      <c r="I266" s="56"/>
      <c r="J266" s="105"/>
      <c r="K266" s="155"/>
      <c r="L266" s="155"/>
      <c r="M266" s="155"/>
      <c r="N266" s="155"/>
      <c r="O266" s="155"/>
      <c r="P266" s="155"/>
      <c r="Q266" s="155"/>
      <c r="R266" s="155"/>
      <c r="S266" s="155"/>
      <c r="T266" s="155"/>
      <c r="U266" s="155"/>
      <c r="V266" s="155"/>
      <c r="W266" s="155"/>
      <c r="X266" s="155"/>
      <c r="Y266" s="155"/>
      <c r="Z266" s="155"/>
      <c r="AA266" s="155"/>
      <c r="AB266" s="155"/>
      <c r="AC266" s="155"/>
      <c r="AD266" s="155"/>
      <c r="AE266" s="155"/>
      <c r="AF266" s="155"/>
      <c r="AG266" s="155"/>
      <c r="AH266" s="155"/>
      <c r="AI266" s="155"/>
      <c r="AJ266" s="155"/>
      <c r="AK266" s="155"/>
      <c r="AL266" s="155"/>
      <c r="AM266" s="155"/>
      <c r="AN266" s="155"/>
      <c r="AO266" s="155"/>
      <c r="AP266" s="155"/>
      <c r="AQ266" s="155"/>
      <c r="AR266" s="155"/>
      <c r="AS266" s="155"/>
      <c r="AT266" s="155"/>
      <c r="AU266" s="155"/>
      <c r="AV266" s="155"/>
      <c r="AW266" s="155"/>
      <c r="AX266" s="155"/>
      <c r="AY266" s="155"/>
      <c r="AZ266" s="155"/>
      <c r="BA266" s="155"/>
      <c r="BB266" s="155"/>
      <c r="BC266" s="155"/>
      <c r="BD266" s="155"/>
      <c r="BE266" s="155"/>
      <c r="BF266" s="155"/>
      <c r="BG266" s="155"/>
      <c r="BH266" s="155"/>
      <c r="BI266" s="155"/>
      <c r="BJ266" s="155"/>
      <c r="BK266" s="155"/>
      <c r="BL266" s="155"/>
      <c r="BM266" s="155"/>
      <c r="BN266" s="155"/>
      <c r="BO266" s="155"/>
      <c r="BP266" s="155"/>
      <c r="BQ266" s="155"/>
      <c r="BR266" s="155"/>
      <c r="BS266" s="155"/>
      <c r="BT266" s="155"/>
      <c r="BU266" s="155"/>
      <c r="BV266" s="155"/>
      <c r="BW266" s="155"/>
      <c r="BX266" s="155"/>
      <c r="BY266" s="155"/>
      <c r="BZ266" s="155"/>
      <c r="CA266" s="155"/>
      <c r="CB266" s="155"/>
      <c r="CC266" s="155"/>
      <c r="CD266" s="155"/>
      <c r="CE266" s="155"/>
      <c r="CF266" s="155"/>
      <c r="CG266" s="155"/>
      <c r="CH266" s="155"/>
      <c r="CI266" s="155"/>
      <c r="CJ266" s="155"/>
      <c r="CK266" s="155"/>
      <c r="CL266" s="155"/>
      <c r="CM266" s="155"/>
      <c r="CN266" s="155"/>
      <c r="CO266" s="155"/>
      <c r="CP266" s="155"/>
      <c r="CQ266" s="155"/>
    </row>
    <row r="267" spans="1:95" s="155" customFormat="1" ht="38.25" x14ac:dyDescent="0.25">
      <c r="A267" s="80"/>
      <c r="B267" s="88" t="s">
        <v>130</v>
      </c>
      <c r="C267" s="64" t="s">
        <v>20</v>
      </c>
      <c r="D267" s="172"/>
      <c r="E267" s="64" t="s">
        <v>60</v>
      </c>
      <c r="F267" s="47">
        <f>$F$8/4</f>
        <v>185.75</v>
      </c>
      <c r="G267" s="58">
        <f t="shared" ref="G267:G268" si="55">D267*F267</f>
        <v>0</v>
      </c>
      <c r="H267" s="47">
        <f>$H$8/4</f>
        <v>241.5</v>
      </c>
      <c r="I267" s="58">
        <f t="shared" si="54"/>
        <v>0</v>
      </c>
      <c r="J267" s="173" t="s">
        <v>426</v>
      </c>
    </row>
    <row r="268" spans="1:95" s="164" customFormat="1" ht="38.25" x14ac:dyDescent="0.25">
      <c r="A268" s="80"/>
      <c r="B268" s="89" t="s">
        <v>127</v>
      </c>
      <c r="C268" s="66" t="s">
        <v>20</v>
      </c>
      <c r="D268" s="52"/>
      <c r="E268" s="66" t="s">
        <v>60</v>
      </c>
      <c r="F268" s="50">
        <f>$F$8/2</f>
        <v>371.5</v>
      </c>
      <c r="G268" s="60">
        <f t="shared" si="55"/>
        <v>0</v>
      </c>
      <c r="H268" s="50">
        <f>$H$8/2</f>
        <v>483</v>
      </c>
      <c r="I268" s="60">
        <f t="shared" si="54"/>
        <v>0</v>
      </c>
      <c r="J268" s="173" t="s">
        <v>427</v>
      </c>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c r="AX268" s="155"/>
      <c r="AY268" s="155"/>
      <c r="AZ268" s="155"/>
      <c r="BA268" s="155"/>
      <c r="BB268" s="155"/>
      <c r="BC268" s="155"/>
      <c r="BD268" s="155"/>
      <c r="BE268" s="155"/>
      <c r="BF268" s="155"/>
      <c r="BG268" s="155"/>
      <c r="BH268" s="155"/>
      <c r="BI268" s="155"/>
      <c r="BJ268" s="155"/>
      <c r="BK268" s="155"/>
      <c r="BL268" s="155"/>
      <c r="BM268" s="155"/>
      <c r="BN268" s="155"/>
      <c r="BO268" s="155"/>
      <c r="BP268" s="155"/>
      <c r="BQ268" s="155"/>
      <c r="BR268" s="155"/>
      <c r="BS268" s="155"/>
      <c r="BT268" s="155"/>
      <c r="BU268" s="155"/>
      <c r="BV268" s="155"/>
      <c r="BW268" s="155"/>
      <c r="BX268" s="155"/>
      <c r="BY268" s="155"/>
      <c r="BZ268" s="155"/>
      <c r="CA268" s="155"/>
      <c r="CB268" s="155"/>
      <c r="CC268" s="155"/>
      <c r="CD268" s="155"/>
      <c r="CE268" s="155"/>
      <c r="CF268" s="155"/>
      <c r="CG268" s="155"/>
      <c r="CH268" s="155"/>
      <c r="CI268" s="155"/>
      <c r="CJ268" s="155"/>
      <c r="CK268" s="155"/>
      <c r="CL268" s="155"/>
      <c r="CM268" s="155"/>
      <c r="CN268" s="155"/>
      <c r="CO268" s="155"/>
      <c r="CP268" s="155"/>
      <c r="CQ268" s="155"/>
    </row>
    <row r="269" spans="1:95" s="159" customFormat="1" ht="102" x14ac:dyDescent="0.25">
      <c r="A269" s="80"/>
      <c r="B269" s="92" t="s">
        <v>249</v>
      </c>
      <c r="C269" s="61">
        <v>14.5</v>
      </c>
      <c r="D269" s="83"/>
      <c r="E269" s="61"/>
      <c r="F269" s="83"/>
      <c r="G269" s="56"/>
      <c r="H269" s="83"/>
      <c r="I269" s="56"/>
      <c r="J269" s="99" t="s">
        <v>387</v>
      </c>
      <c r="K269" s="155"/>
      <c r="L269" s="155"/>
      <c r="M269" s="155"/>
      <c r="N269" s="155"/>
      <c r="O269" s="155"/>
      <c r="P269" s="155"/>
      <c r="Q269" s="155"/>
      <c r="R269" s="155"/>
      <c r="S269" s="155"/>
      <c r="T269" s="155"/>
      <c r="U269" s="155"/>
      <c r="V269" s="155"/>
      <c r="W269" s="155"/>
      <c r="X269" s="155"/>
      <c r="Y269" s="155"/>
      <c r="Z269" s="155"/>
      <c r="AA269" s="155"/>
      <c r="AB269" s="155"/>
      <c r="AC269" s="155"/>
      <c r="AD269" s="155"/>
      <c r="AE269" s="155"/>
      <c r="AF269" s="155"/>
      <c r="AG269" s="155"/>
      <c r="AH269" s="155"/>
      <c r="AI269" s="155"/>
      <c r="AJ269" s="155"/>
      <c r="AK269" s="155"/>
      <c r="AL269" s="155"/>
      <c r="AM269" s="155"/>
      <c r="AN269" s="155"/>
      <c r="AO269" s="155"/>
      <c r="AP269" s="155"/>
      <c r="AQ269" s="155"/>
      <c r="AR269" s="155"/>
      <c r="AS269" s="155"/>
      <c r="AT269" s="155"/>
      <c r="AU269" s="155"/>
      <c r="AV269" s="155"/>
      <c r="AW269" s="155"/>
      <c r="AX269" s="155"/>
      <c r="AY269" s="155"/>
      <c r="AZ269" s="155"/>
      <c r="BA269" s="155"/>
      <c r="BB269" s="155"/>
      <c r="BC269" s="155"/>
      <c r="BD269" s="155"/>
      <c r="BE269" s="155"/>
      <c r="BF269" s="155"/>
      <c r="BG269" s="155"/>
      <c r="BH269" s="155"/>
      <c r="BI269" s="155"/>
      <c r="BJ269" s="155"/>
      <c r="BK269" s="155"/>
      <c r="BL269" s="155"/>
      <c r="BM269" s="155"/>
      <c r="BN269" s="155"/>
      <c r="BO269" s="155"/>
      <c r="BP269" s="155"/>
      <c r="BQ269" s="155"/>
      <c r="BR269" s="155"/>
      <c r="BS269" s="155"/>
      <c r="BT269" s="155"/>
      <c r="BU269" s="155"/>
      <c r="BV269" s="155"/>
      <c r="BW269" s="155"/>
      <c r="BX269" s="155"/>
      <c r="BY269" s="155"/>
      <c r="BZ269" s="155"/>
      <c r="CA269" s="155"/>
      <c r="CB269" s="155"/>
      <c r="CC269" s="155"/>
      <c r="CD269" s="155"/>
      <c r="CE269" s="155"/>
      <c r="CF269" s="155"/>
      <c r="CG269" s="155"/>
      <c r="CH269" s="155"/>
      <c r="CI269" s="155"/>
      <c r="CJ269" s="155"/>
      <c r="CK269" s="155"/>
      <c r="CL269" s="155"/>
      <c r="CM269" s="155"/>
      <c r="CN269" s="155"/>
      <c r="CO269" s="155"/>
      <c r="CP269" s="155"/>
      <c r="CQ269" s="155"/>
    </row>
    <row r="270" spans="1:95" s="155" customFormat="1" ht="25.5" x14ac:dyDescent="0.25">
      <c r="A270" s="2"/>
      <c r="B270" s="91" t="s">
        <v>112</v>
      </c>
      <c r="C270" s="64" t="s">
        <v>107</v>
      </c>
      <c r="D270" s="45"/>
      <c r="E270" s="64" t="s">
        <v>12</v>
      </c>
      <c r="F270" s="47">
        <f>$F$8*1.25</f>
        <v>928.75</v>
      </c>
      <c r="G270" s="58">
        <f>D270*F270</f>
        <v>0</v>
      </c>
      <c r="H270" s="47">
        <f>$H$8*1.25</f>
        <v>1207.5</v>
      </c>
      <c r="I270" s="58">
        <f>D270*H270</f>
        <v>0</v>
      </c>
      <c r="J270" s="165" t="s">
        <v>374</v>
      </c>
    </row>
    <row r="271" spans="1:95" s="155" customFormat="1" ht="25.5" x14ac:dyDescent="0.25">
      <c r="A271" s="2"/>
      <c r="B271" s="91" t="s">
        <v>141</v>
      </c>
      <c r="C271" s="64" t="s">
        <v>108</v>
      </c>
      <c r="D271" s="45"/>
      <c r="E271" s="64" t="s">
        <v>12</v>
      </c>
      <c r="F271" s="47">
        <f>$F$8*1.5</f>
        <v>1114.5</v>
      </c>
      <c r="G271" s="58">
        <f t="shared" ref="G271:G272" si="56">D271*F271</f>
        <v>0</v>
      </c>
      <c r="H271" s="47">
        <f>$H$8*1.5</f>
        <v>1449</v>
      </c>
      <c r="I271" s="58">
        <f t="shared" ref="I271:I272" si="57">D271*H271</f>
        <v>0</v>
      </c>
      <c r="J271" s="165" t="s">
        <v>375</v>
      </c>
    </row>
    <row r="272" spans="1:95" s="164" customFormat="1" ht="25.5" x14ac:dyDescent="0.25">
      <c r="A272" s="2"/>
      <c r="B272" s="117" t="s">
        <v>142</v>
      </c>
      <c r="C272" s="66" t="s">
        <v>109</v>
      </c>
      <c r="D272" s="48"/>
      <c r="E272" s="66" t="s">
        <v>12</v>
      </c>
      <c r="F272" s="50">
        <v>900</v>
      </c>
      <c r="G272" s="60">
        <f t="shared" si="56"/>
        <v>0</v>
      </c>
      <c r="H272" s="50">
        <v>900</v>
      </c>
      <c r="I272" s="60">
        <f t="shared" si="57"/>
        <v>0</v>
      </c>
      <c r="J272" s="174" t="s">
        <v>376</v>
      </c>
      <c r="K272" s="155"/>
      <c r="L272" s="155"/>
      <c r="M272" s="155"/>
      <c r="N272" s="155"/>
      <c r="O272" s="155"/>
      <c r="P272" s="155"/>
      <c r="Q272" s="155"/>
      <c r="R272" s="155"/>
      <c r="S272" s="155"/>
      <c r="T272" s="155"/>
      <c r="U272" s="155"/>
      <c r="V272" s="155"/>
      <c r="W272" s="155"/>
      <c r="X272" s="155"/>
      <c r="Y272" s="155"/>
      <c r="Z272" s="155"/>
      <c r="AA272" s="155"/>
      <c r="AB272" s="155"/>
      <c r="AC272" s="155"/>
      <c r="AD272" s="155"/>
      <c r="AE272" s="155"/>
      <c r="AF272" s="155"/>
      <c r="AG272" s="155"/>
      <c r="AH272" s="155"/>
      <c r="AI272" s="155"/>
      <c r="AJ272" s="155"/>
      <c r="AK272" s="155"/>
      <c r="AL272" s="155"/>
      <c r="AM272" s="155"/>
      <c r="AN272" s="155"/>
      <c r="AO272" s="155"/>
      <c r="AP272" s="155"/>
      <c r="AQ272" s="155"/>
      <c r="AR272" s="155"/>
      <c r="AS272" s="155"/>
      <c r="AT272" s="155"/>
      <c r="AU272" s="155"/>
      <c r="AV272" s="155"/>
      <c r="AW272" s="155"/>
      <c r="AX272" s="155"/>
      <c r="AY272" s="155"/>
      <c r="AZ272" s="155"/>
      <c r="BA272" s="155"/>
      <c r="BB272" s="155"/>
      <c r="BC272" s="155"/>
      <c r="BD272" s="155"/>
      <c r="BE272" s="155"/>
      <c r="BF272" s="155"/>
      <c r="BG272" s="155"/>
      <c r="BH272" s="155"/>
      <c r="BI272" s="155"/>
      <c r="BJ272" s="155"/>
      <c r="BK272" s="155"/>
      <c r="BL272" s="155"/>
      <c r="BM272" s="155"/>
      <c r="BN272" s="155"/>
      <c r="BO272" s="155"/>
      <c r="BP272" s="155"/>
      <c r="BQ272" s="155"/>
      <c r="BR272" s="155"/>
      <c r="BS272" s="155"/>
      <c r="BT272" s="155"/>
      <c r="BU272" s="155"/>
      <c r="BV272" s="155"/>
      <c r="BW272" s="155"/>
      <c r="BX272" s="155"/>
      <c r="BY272" s="155"/>
      <c r="BZ272" s="155"/>
      <c r="CA272" s="155"/>
      <c r="CB272" s="155"/>
      <c r="CC272" s="155"/>
      <c r="CD272" s="155"/>
      <c r="CE272" s="155"/>
      <c r="CF272" s="155"/>
      <c r="CG272" s="155"/>
      <c r="CH272" s="155"/>
      <c r="CI272" s="155"/>
      <c r="CJ272" s="155"/>
      <c r="CK272" s="155"/>
      <c r="CL272" s="155"/>
      <c r="CM272" s="155"/>
      <c r="CN272" s="155"/>
      <c r="CO272" s="155"/>
      <c r="CP272" s="155"/>
      <c r="CQ272" s="155"/>
    </row>
    <row r="273" spans="1:95" s="159" customFormat="1" x14ac:dyDescent="0.25">
      <c r="A273" s="2"/>
      <c r="B273" s="175" t="s">
        <v>353</v>
      </c>
      <c r="C273" s="5">
        <v>14.6</v>
      </c>
      <c r="D273" s="176"/>
      <c r="E273" s="5"/>
      <c r="F273" s="7"/>
      <c r="G273" s="158"/>
      <c r="H273" s="7"/>
      <c r="I273" s="158"/>
      <c r="J273" s="177"/>
      <c r="K273" s="155"/>
      <c r="L273" s="155"/>
      <c r="M273" s="155"/>
      <c r="N273" s="155"/>
      <c r="O273" s="155"/>
      <c r="P273" s="155"/>
      <c r="Q273" s="155"/>
      <c r="R273" s="155"/>
      <c r="S273" s="155"/>
      <c r="T273" s="155"/>
      <c r="U273" s="155"/>
      <c r="V273" s="155"/>
      <c r="W273" s="155"/>
      <c r="X273" s="155"/>
      <c r="Y273" s="155"/>
      <c r="Z273" s="155"/>
      <c r="AA273" s="155"/>
      <c r="AB273" s="155"/>
      <c r="AC273" s="155"/>
      <c r="AD273" s="155"/>
      <c r="AE273" s="155"/>
      <c r="AF273" s="155"/>
      <c r="AG273" s="155"/>
      <c r="AH273" s="155"/>
      <c r="AI273" s="155"/>
      <c r="AJ273" s="155"/>
      <c r="AK273" s="155"/>
      <c r="AL273" s="155"/>
      <c r="AM273" s="155"/>
      <c r="AN273" s="155"/>
      <c r="AO273" s="155"/>
      <c r="AP273" s="155"/>
      <c r="AQ273" s="155"/>
      <c r="AR273" s="155"/>
      <c r="AS273" s="155"/>
      <c r="AT273" s="155"/>
      <c r="AU273" s="155"/>
      <c r="AV273" s="155"/>
      <c r="AW273" s="155"/>
      <c r="AX273" s="155"/>
      <c r="AY273" s="155"/>
      <c r="AZ273" s="155"/>
      <c r="BA273" s="155"/>
      <c r="BB273" s="155"/>
      <c r="BC273" s="155"/>
      <c r="BD273" s="155"/>
      <c r="BE273" s="155"/>
      <c r="BF273" s="155"/>
      <c r="BG273" s="155"/>
      <c r="BH273" s="155"/>
      <c r="BI273" s="155"/>
      <c r="BJ273" s="155"/>
      <c r="BK273" s="155"/>
      <c r="BL273" s="155"/>
      <c r="BM273" s="155"/>
      <c r="BN273" s="155"/>
      <c r="BO273" s="155"/>
      <c r="BP273" s="155"/>
      <c r="BQ273" s="155"/>
      <c r="BR273" s="155"/>
      <c r="BS273" s="155"/>
      <c r="BT273" s="155"/>
      <c r="BU273" s="155"/>
      <c r="BV273" s="155"/>
      <c r="BW273" s="155"/>
      <c r="BX273" s="155"/>
      <c r="BY273" s="155"/>
      <c r="BZ273" s="155"/>
      <c r="CA273" s="155"/>
      <c r="CB273" s="155"/>
      <c r="CC273" s="155"/>
      <c r="CD273" s="155"/>
      <c r="CE273" s="155"/>
      <c r="CF273" s="155"/>
      <c r="CG273" s="155"/>
      <c r="CH273" s="155"/>
      <c r="CI273" s="155"/>
      <c r="CJ273" s="155"/>
      <c r="CK273" s="155"/>
      <c r="CL273" s="155"/>
      <c r="CM273" s="155"/>
      <c r="CN273" s="155"/>
      <c r="CO273" s="155"/>
      <c r="CP273" s="155"/>
      <c r="CQ273" s="155"/>
    </row>
    <row r="274" spans="1:95" s="164" customFormat="1" ht="25.5" x14ac:dyDescent="0.25">
      <c r="A274" s="2"/>
      <c r="B274" s="178" t="s">
        <v>261</v>
      </c>
      <c r="C274" s="17">
        <v>1.9</v>
      </c>
      <c r="D274" s="179"/>
      <c r="E274" s="17"/>
      <c r="F274" s="47">
        <f>$F$8*1.2</f>
        <v>891.6</v>
      </c>
      <c r="G274" s="50">
        <f>D274*F274</f>
        <v>0</v>
      </c>
      <c r="H274" s="47">
        <f>$H$8*1.2</f>
        <v>1159.2</v>
      </c>
      <c r="I274" s="212">
        <f>D274*H274</f>
        <v>0</v>
      </c>
      <c r="J274" s="165" t="s">
        <v>377</v>
      </c>
      <c r="K274" s="155"/>
      <c r="L274" s="155"/>
      <c r="M274" s="155"/>
      <c r="N274" s="155"/>
      <c r="O274" s="155"/>
      <c r="P274" s="155"/>
      <c r="Q274" s="155"/>
      <c r="R274" s="155"/>
      <c r="S274" s="155"/>
      <c r="T274" s="155"/>
      <c r="U274" s="155"/>
      <c r="V274" s="155"/>
      <c r="W274" s="155"/>
      <c r="X274" s="155"/>
      <c r="Y274" s="155"/>
      <c r="Z274" s="155"/>
      <c r="AA274" s="155"/>
      <c r="AB274" s="155"/>
      <c r="AC274" s="155"/>
      <c r="AD274" s="155"/>
      <c r="AE274" s="155"/>
      <c r="AF274" s="155"/>
      <c r="AG274" s="155"/>
      <c r="AH274" s="155"/>
      <c r="AI274" s="155"/>
      <c r="AJ274" s="155"/>
      <c r="AK274" s="155"/>
      <c r="AL274" s="155"/>
      <c r="AM274" s="155"/>
      <c r="AN274" s="155"/>
      <c r="AO274" s="155"/>
      <c r="AP274" s="155"/>
      <c r="AQ274" s="155"/>
      <c r="AR274" s="155"/>
      <c r="AS274" s="155"/>
      <c r="AT274" s="155"/>
      <c r="AU274" s="155"/>
      <c r="AV274" s="155"/>
      <c r="AW274" s="155"/>
      <c r="AX274" s="155"/>
      <c r="AY274" s="155"/>
      <c r="AZ274" s="155"/>
      <c r="BA274" s="155"/>
      <c r="BB274" s="155"/>
      <c r="BC274" s="155"/>
      <c r="BD274" s="155"/>
      <c r="BE274" s="155"/>
      <c r="BF274" s="155"/>
      <c r="BG274" s="155"/>
      <c r="BH274" s="155"/>
      <c r="BI274" s="155"/>
      <c r="BJ274" s="155"/>
      <c r="BK274" s="155"/>
      <c r="BL274" s="155"/>
      <c r="BM274" s="155"/>
      <c r="BN274" s="155"/>
      <c r="BO274" s="155"/>
      <c r="BP274" s="155"/>
      <c r="BQ274" s="155"/>
      <c r="BR274" s="155"/>
      <c r="BS274" s="155"/>
      <c r="BT274" s="155"/>
      <c r="BU274" s="155"/>
      <c r="BV274" s="155"/>
      <c r="BW274" s="155"/>
      <c r="BX274" s="155"/>
      <c r="BY274" s="155"/>
      <c r="BZ274" s="155"/>
      <c r="CA274" s="155"/>
      <c r="CB274" s="155"/>
      <c r="CC274" s="155"/>
      <c r="CD274" s="155"/>
      <c r="CE274" s="155"/>
      <c r="CF274" s="155"/>
      <c r="CG274" s="155"/>
      <c r="CH274" s="155"/>
      <c r="CI274" s="155"/>
      <c r="CJ274" s="155"/>
      <c r="CK274" s="155"/>
      <c r="CL274" s="155"/>
      <c r="CM274" s="155"/>
      <c r="CN274" s="155"/>
      <c r="CO274" s="155"/>
      <c r="CP274" s="155"/>
      <c r="CQ274" s="155"/>
    </row>
    <row r="275" spans="1:95" s="185" customFormat="1" x14ac:dyDescent="0.25">
      <c r="A275" s="2"/>
      <c r="B275" s="175" t="s">
        <v>216</v>
      </c>
      <c r="C275" s="5">
        <v>14.8</v>
      </c>
      <c r="D275" s="176"/>
      <c r="E275" s="5"/>
      <c r="F275" s="258"/>
      <c r="G275" s="158"/>
      <c r="H275" s="7"/>
      <c r="I275" s="158"/>
      <c r="J275" s="177" t="s">
        <v>329</v>
      </c>
    </row>
    <row r="276" spans="1:95" s="185" customFormat="1" x14ac:dyDescent="0.25">
      <c r="A276" s="2"/>
      <c r="B276" s="77" t="s">
        <v>245</v>
      </c>
      <c r="C276" s="15" t="s">
        <v>92</v>
      </c>
      <c r="D276" s="80"/>
      <c r="E276" s="15" t="s">
        <v>119</v>
      </c>
      <c r="F276" s="21">
        <f>$F$8/2</f>
        <v>371.5</v>
      </c>
      <c r="G276" s="58">
        <f t="shared" ref="G276:G279" si="58">D276*F276</f>
        <v>0</v>
      </c>
      <c r="H276" s="21">
        <f>$H$8/2</f>
        <v>483</v>
      </c>
      <c r="I276" s="58">
        <f>D276*H276</f>
        <v>0</v>
      </c>
      <c r="J276" s="168" t="s">
        <v>301</v>
      </c>
    </row>
    <row r="277" spans="1:95" s="185" customFormat="1" x14ac:dyDescent="0.25">
      <c r="A277" s="2"/>
      <c r="B277" s="77" t="s">
        <v>246</v>
      </c>
      <c r="C277" s="259" t="s">
        <v>365</v>
      </c>
      <c r="D277" s="80"/>
      <c r="E277" s="15" t="s">
        <v>119</v>
      </c>
      <c r="F277" s="21">
        <f>$F$8/1.5</f>
        <v>495.33333333333331</v>
      </c>
      <c r="G277" s="58">
        <f t="shared" si="58"/>
        <v>0</v>
      </c>
      <c r="H277" s="21">
        <f>$H$8/1.5</f>
        <v>644</v>
      </c>
      <c r="I277" s="58">
        <f t="shared" ref="I277:I279" si="59">D277*H277</f>
        <v>0</v>
      </c>
      <c r="J277" s="168" t="s">
        <v>302</v>
      </c>
    </row>
    <row r="278" spans="1:95" s="185" customFormat="1" x14ac:dyDescent="0.25">
      <c r="A278" s="2"/>
      <c r="B278" s="217" t="s">
        <v>363</v>
      </c>
      <c r="C278" s="15" t="s">
        <v>93</v>
      </c>
      <c r="D278" s="80"/>
      <c r="E278" s="15" t="s">
        <v>119</v>
      </c>
      <c r="F278" s="21">
        <f>$F$8/1</f>
        <v>743</v>
      </c>
      <c r="G278" s="58">
        <f t="shared" si="58"/>
        <v>0</v>
      </c>
      <c r="H278" s="21">
        <f>$H$8/1</f>
        <v>966</v>
      </c>
      <c r="I278" s="58">
        <f t="shared" si="59"/>
        <v>0</v>
      </c>
      <c r="J278" s="168" t="s">
        <v>303</v>
      </c>
    </row>
    <row r="279" spans="1:95" s="185" customFormat="1" x14ac:dyDescent="0.25">
      <c r="A279" s="2"/>
      <c r="B279" s="26" t="s">
        <v>364</v>
      </c>
      <c r="C279" s="17" t="s">
        <v>94</v>
      </c>
      <c r="D279" s="81"/>
      <c r="E279" s="17" t="s">
        <v>119</v>
      </c>
      <c r="F279" s="124">
        <f>$F$8/0.75</f>
        <v>990.66666666666663</v>
      </c>
      <c r="G279" s="58">
        <f t="shared" si="58"/>
        <v>0</v>
      </c>
      <c r="H279" s="124">
        <f>$H$8/0.75</f>
        <v>1288</v>
      </c>
      <c r="I279" s="58">
        <f t="shared" si="59"/>
        <v>0</v>
      </c>
      <c r="J279" s="168" t="s">
        <v>304</v>
      </c>
    </row>
    <row r="280" spans="1:95" s="185" customFormat="1" x14ac:dyDescent="0.25">
      <c r="A280" s="2"/>
      <c r="B280" s="157" t="s">
        <v>217</v>
      </c>
      <c r="C280" s="5" t="s">
        <v>95</v>
      </c>
      <c r="D280" s="79"/>
      <c r="E280" s="5"/>
      <c r="F280" s="258"/>
      <c r="G280" s="158"/>
      <c r="H280" s="7"/>
      <c r="I280" s="158"/>
      <c r="J280" s="177" t="s">
        <v>308</v>
      </c>
    </row>
    <row r="281" spans="1:95" s="185" customFormat="1" x14ac:dyDescent="0.25">
      <c r="A281" s="2"/>
      <c r="B281" s="13" t="s">
        <v>218</v>
      </c>
      <c r="C281" s="15"/>
      <c r="D281" s="80"/>
      <c r="E281" s="15" t="s">
        <v>69</v>
      </c>
      <c r="F281" s="21">
        <f>$F$8/0.3</f>
        <v>2476.666666666667</v>
      </c>
      <c r="G281" s="58">
        <f>IF(D281=0,0,IF(D281*F281&lt;3000,3000,D281*F281))</f>
        <v>0</v>
      </c>
      <c r="H281" s="21">
        <f>$H$8/0.3</f>
        <v>3220</v>
      </c>
      <c r="I281" s="58">
        <f>IF(D281=0,0,IF(D281*H281&lt;3000,3000,D281*H281))</f>
        <v>0</v>
      </c>
      <c r="J281" s="168" t="s">
        <v>305</v>
      </c>
    </row>
    <row r="282" spans="1:95" s="185" customFormat="1" x14ac:dyDescent="0.25">
      <c r="A282" s="2"/>
      <c r="B282" s="13" t="s">
        <v>366</v>
      </c>
      <c r="C282" s="15"/>
      <c r="D282" s="80"/>
      <c r="E282" s="15" t="s">
        <v>69</v>
      </c>
      <c r="F282" s="21">
        <f>$F$8/0.4</f>
        <v>1857.5</v>
      </c>
      <c r="G282" s="58">
        <f t="shared" ref="G282:G283" si="60">IF(D282=0,0,IF(D282*F282&lt;3000,3000,D282*F282))</f>
        <v>0</v>
      </c>
      <c r="H282" s="21">
        <f>$H$8/0.4</f>
        <v>2415</v>
      </c>
      <c r="I282" s="58">
        <f t="shared" ref="I282:I283" si="61">D282*H282</f>
        <v>0</v>
      </c>
      <c r="J282" s="168" t="s">
        <v>306</v>
      </c>
    </row>
    <row r="283" spans="1:95" s="185" customFormat="1" x14ac:dyDescent="0.25">
      <c r="A283" s="2"/>
      <c r="B283" s="13" t="s">
        <v>367</v>
      </c>
      <c r="C283" s="15"/>
      <c r="D283" s="80"/>
      <c r="E283" s="15" t="s">
        <v>69</v>
      </c>
      <c r="F283" s="21">
        <f>$F$8/0.5</f>
        <v>1486</v>
      </c>
      <c r="G283" s="58">
        <f t="shared" si="60"/>
        <v>0</v>
      </c>
      <c r="H283" s="21">
        <f>$H$8/0.5</f>
        <v>1932</v>
      </c>
      <c r="I283" s="58">
        <f t="shared" si="61"/>
        <v>0</v>
      </c>
      <c r="J283" s="168" t="s">
        <v>307</v>
      </c>
    </row>
    <row r="284" spans="1:95" s="186" customFormat="1" x14ac:dyDescent="0.25">
      <c r="A284" s="2"/>
      <c r="B284" s="157" t="s">
        <v>219</v>
      </c>
      <c r="C284" s="5">
        <v>14.1</v>
      </c>
      <c r="D284" s="79"/>
      <c r="E284" s="5"/>
      <c r="F284" s="258"/>
      <c r="G284" s="158"/>
      <c r="H284" s="7"/>
      <c r="I284" s="158"/>
      <c r="J284" s="481" t="s">
        <v>330</v>
      </c>
      <c r="K284" s="185"/>
      <c r="L284" s="185"/>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c r="AX284" s="185"/>
      <c r="AY284" s="185"/>
      <c r="AZ284" s="185"/>
      <c r="BA284" s="185"/>
      <c r="BB284" s="185"/>
      <c r="BC284" s="185"/>
      <c r="BD284" s="185"/>
      <c r="BE284" s="185"/>
      <c r="BF284" s="185"/>
      <c r="BG284" s="185"/>
      <c r="BH284" s="185"/>
      <c r="BI284" s="185"/>
      <c r="BJ284" s="185"/>
      <c r="BK284" s="185"/>
      <c r="BL284" s="185"/>
      <c r="BM284" s="185"/>
      <c r="BN284" s="185"/>
      <c r="BO284" s="185"/>
      <c r="BP284" s="185"/>
      <c r="BQ284" s="185"/>
      <c r="BR284" s="185"/>
      <c r="BS284" s="185"/>
      <c r="BT284" s="185"/>
      <c r="BU284" s="185"/>
      <c r="BV284" s="185"/>
      <c r="BW284" s="185"/>
      <c r="BX284" s="185"/>
      <c r="BY284" s="185"/>
      <c r="BZ284" s="185"/>
      <c r="CA284" s="185"/>
      <c r="CB284" s="185"/>
      <c r="CC284" s="185"/>
      <c r="CD284" s="185"/>
      <c r="CE284" s="185"/>
      <c r="CF284" s="185"/>
      <c r="CG284" s="185"/>
      <c r="CH284" s="185"/>
      <c r="CI284" s="185"/>
      <c r="CJ284" s="185"/>
      <c r="CK284" s="185"/>
      <c r="CL284" s="185"/>
      <c r="CM284" s="185"/>
      <c r="CN284" s="185"/>
      <c r="CO284" s="185"/>
      <c r="CP284" s="185"/>
      <c r="CQ284" s="185"/>
    </row>
    <row r="285" spans="1:95" s="185" customFormat="1" x14ac:dyDescent="0.25">
      <c r="A285" s="2"/>
      <c r="B285" s="13" t="s">
        <v>220</v>
      </c>
      <c r="C285" s="15" t="s">
        <v>96</v>
      </c>
      <c r="D285" s="80"/>
      <c r="E285" s="15"/>
      <c r="F285" s="21"/>
      <c r="G285" s="161"/>
      <c r="H285" s="1"/>
      <c r="I285" s="161"/>
      <c r="J285" s="476"/>
    </row>
    <row r="286" spans="1:95" s="185" customFormat="1" x14ac:dyDescent="0.25">
      <c r="A286" s="2"/>
      <c r="B286" s="13" t="s">
        <v>221</v>
      </c>
      <c r="C286" s="15" t="s">
        <v>96</v>
      </c>
      <c r="D286" s="80"/>
      <c r="E286" s="15"/>
      <c r="F286" s="21"/>
      <c r="G286" s="161"/>
      <c r="H286" s="1"/>
      <c r="I286" s="161"/>
      <c r="J286" s="476"/>
    </row>
    <row r="287" spans="1:95" s="185" customFormat="1" x14ac:dyDescent="0.25">
      <c r="A287" s="2"/>
      <c r="B287" s="13" t="s">
        <v>102</v>
      </c>
      <c r="C287" s="15"/>
      <c r="D287" s="80"/>
      <c r="E287" s="15" t="s">
        <v>368</v>
      </c>
      <c r="F287" s="21">
        <v>3600</v>
      </c>
      <c r="G287" s="58">
        <f>IF(D287=0,0,IF(D287&lt;=14,F287,"error"))</f>
        <v>0</v>
      </c>
      <c r="H287" s="21">
        <v>3600</v>
      </c>
      <c r="I287" s="58">
        <f>IF(D287=0,0,IF(D287&lt;=14,H287,"error"))</f>
        <v>0</v>
      </c>
      <c r="J287" s="476"/>
    </row>
    <row r="288" spans="1:95" s="185" customFormat="1" x14ac:dyDescent="0.25">
      <c r="A288" s="2"/>
      <c r="B288" s="13" t="s">
        <v>224</v>
      </c>
      <c r="C288" s="15"/>
      <c r="D288" s="80"/>
      <c r="E288" s="15" t="s">
        <v>368</v>
      </c>
      <c r="F288" s="21">
        <v>5000</v>
      </c>
      <c r="G288" s="58">
        <f>IF(D288=0,0,IF(D288&lt;=14,F288,"error"))</f>
        <v>0</v>
      </c>
      <c r="H288" s="21">
        <v>5000</v>
      </c>
      <c r="I288" s="58">
        <f>IF(D288=0,0,IF(D288&lt;=14,H288,"error"))</f>
        <v>0</v>
      </c>
      <c r="J288" s="476"/>
    </row>
    <row r="289" spans="1:95" s="185" customFormat="1" x14ac:dyDescent="0.25">
      <c r="A289" s="2"/>
      <c r="B289" s="13" t="s">
        <v>369</v>
      </c>
      <c r="C289" s="15" t="s">
        <v>96</v>
      </c>
      <c r="D289" s="80"/>
      <c r="E289" s="15"/>
      <c r="F289" s="21"/>
      <c r="G289" s="161"/>
      <c r="H289" s="21"/>
      <c r="I289" s="161"/>
      <c r="J289" s="476"/>
    </row>
    <row r="290" spans="1:95" s="185" customFormat="1" x14ac:dyDescent="0.25">
      <c r="A290" s="2"/>
      <c r="B290" s="13" t="s">
        <v>102</v>
      </c>
      <c r="C290" s="15"/>
      <c r="D290" s="80"/>
      <c r="E290" s="15" t="s">
        <v>368</v>
      </c>
      <c r="F290" s="21">
        <v>3600</v>
      </c>
      <c r="G290" s="58">
        <f>IF(D290=0,0,IF(AND(D290&gt;14,D290&lt;=30),F290,"error"))</f>
        <v>0</v>
      </c>
      <c r="H290" s="21">
        <v>3600</v>
      </c>
      <c r="I290" s="58">
        <f>IF(D290=0,0,IF(AND(D290&gt;14,D290&lt;=30),H290,"error"))</f>
        <v>0</v>
      </c>
      <c r="J290" s="476"/>
    </row>
    <row r="291" spans="1:95" s="185" customFormat="1" x14ac:dyDescent="0.25">
      <c r="A291" s="2"/>
      <c r="B291" s="13" t="s">
        <v>224</v>
      </c>
      <c r="C291" s="15"/>
      <c r="D291" s="80"/>
      <c r="E291" s="15" t="s">
        <v>368</v>
      </c>
      <c r="F291" s="21">
        <v>12200</v>
      </c>
      <c r="G291" s="58">
        <f>IF(D291=0,0,IF(AND(D291&gt;14,D291&lt;=30),F291,"error"))</f>
        <v>0</v>
      </c>
      <c r="H291" s="21">
        <v>12200</v>
      </c>
      <c r="I291" s="58">
        <f>IF(D291=0,0,IF(AND(D291&gt;14,D291&lt;=30),H291,"error"))</f>
        <v>0</v>
      </c>
      <c r="J291" s="476"/>
    </row>
    <row r="292" spans="1:95" s="185" customFormat="1" x14ac:dyDescent="0.25">
      <c r="A292" s="2"/>
      <c r="B292" s="4" t="s">
        <v>222</v>
      </c>
      <c r="C292" s="15" t="s">
        <v>97</v>
      </c>
      <c r="D292" s="80"/>
      <c r="E292" s="15"/>
      <c r="F292" s="21"/>
      <c r="G292" s="161"/>
      <c r="H292" s="21"/>
      <c r="I292" s="161"/>
      <c r="J292" s="199" t="s">
        <v>331</v>
      </c>
    </row>
    <row r="293" spans="1:95" s="185" customFormat="1" x14ac:dyDescent="0.25">
      <c r="A293" s="2"/>
      <c r="B293" s="13" t="s">
        <v>102</v>
      </c>
      <c r="C293" s="15"/>
      <c r="D293" s="80"/>
      <c r="E293" s="15" t="s">
        <v>60</v>
      </c>
      <c r="F293" s="21">
        <v>900</v>
      </c>
      <c r="G293" s="58">
        <f t="shared" ref="G293" si="62">D293*F293</f>
        <v>0</v>
      </c>
      <c r="H293" s="21">
        <v>900</v>
      </c>
      <c r="I293" s="58">
        <f>D293*H293</f>
        <v>0</v>
      </c>
      <c r="J293" s="199" t="s">
        <v>332</v>
      </c>
    </row>
    <row r="294" spans="1:95" s="187" customFormat="1" ht="25.5" x14ac:dyDescent="0.25">
      <c r="A294" s="2"/>
      <c r="B294" s="26" t="s">
        <v>223</v>
      </c>
      <c r="C294" s="17"/>
      <c r="D294" s="81"/>
      <c r="E294" s="17" t="s">
        <v>103</v>
      </c>
      <c r="F294" s="124">
        <v>20</v>
      </c>
      <c r="G294" s="163">
        <f>IF(D294=0,0,IF(D294*F294&lt;$F$8,$F$8,D294*F294))</f>
        <v>0</v>
      </c>
      <c r="H294" s="124">
        <v>20</v>
      </c>
      <c r="I294" s="163">
        <f>IF(D294=0,0,IF(D294*H294&lt;$H$8,$H$8,D294*H294))</f>
        <v>0</v>
      </c>
      <c r="J294" s="121" t="s">
        <v>333</v>
      </c>
      <c r="K294" s="185"/>
      <c r="L294" s="185"/>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c r="AX294" s="185"/>
      <c r="AY294" s="185"/>
      <c r="AZ294" s="185"/>
      <c r="BA294" s="185"/>
      <c r="BB294" s="185"/>
      <c r="BC294" s="185"/>
      <c r="BD294" s="185"/>
      <c r="BE294" s="185"/>
      <c r="BF294" s="185"/>
      <c r="BG294" s="185"/>
      <c r="BH294" s="185"/>
      <c r="BI294" s="185"/>
      <c r="BJ294" s="185"/>
      <c r="BK294" s="185"/>
      <c r="BL294" s="185"/>
      <c r="BM294" s="185"/>
      <c r="BN294" s="185"/>
      <c r="BO294" s="185"/>
      <c r="BP294" s="185"/>
      <c r="BQ294" s="185"/>
      <c r="BR294" s="185"/>
      <c r="BS294" s="185"/>
      <c r="BT294" s="185"/>
      <c r="BU294" s="185"/>
      <c r="BV294" s="185"/>
      <c r="BW294" s="185"/>
      <c r="BX294" s="185"/>
      <c r="BY294" s="185"/>
      <c r="BZ294" s="185"/>
      <c r="CA294" s="185"/>
      <c r="CB294" s="185"/>
      <c r="CC294" s="185"/>
      <c r="CD294" s="185"/>
      <c r="CE294" s="185"/>
      <c r="CF294" s="185"/>
      <c r="CG294" s="185"/>
      <c r="CH294" s="185"/>
      <c r="CI294" s="185"/>
      <c r="CJ294" s="185"/>
      <c r="CK294" s="185"/>
      <c r="CL294" s="185"/>
      <c r="CM294" s="185"/>
      <c r="CN294" s="185"/>
      <c r="CO294" s="185"/>
      <c r="CP294" s="185"/>
      <c r="CQ294" s="185"/>
    </row>
    <row r="295" spans="1:95" s="185" customFormat="1" x14ac:dyDescent="0.25">
      <c r="A295" s="2"/>
      <c r="B295" s="4" t="s">
        <v>225</v>
      </c>
      <c r="C295" s="15">
        <v>14.11</v>
      </c>
      <c r="D295" s="80"/>
      <c r="E295" s="15"/>
      <c r="F295" s="260"/>
      <c r="G295" s="7"/>
      <c r="H295" s="7"/>
      <c r="I295" s="161"/>
      <c r="J295" s="125"/>
    </row>
    <row r="296" spans="1:95" s="185" customFormat="1" x14ac:dyDescent="0.25">
      <c r="A296" s="2"/>
      <c r="B296" s="4" t="s">
        <v>99</v>
      </c>
      <c r="C296" s="15" t="s">
        <v>98</v>
      </c>
      <c r="D296" s="80"/>
      <c r="E296" s="15"/>
      <c r="F296" s="260"/>
      <c r="G296" s="1"/>
      <c r="H296" s="1"/>
      <c r="I296" s="161"/>
      <c r="J296" s="199" t="s">
        <v>334</v>
      </c>
    </row>
    <row r="297" spans="1:95" s="185" customFormat="1" x14ac:dyDescent="0.25">
      <c r="A297" s="2"/>
      <c r="B297" s="13" t="s">
        <v>243</v>
      </c>
      <c r="C297" s="15"/>
      <c r="D297" s="80"/>
      <c r="E297" s="15"/>
      <c r="F297" s="260"/>
      <c r="G297" s="1"/>
      <c r="H297" s="1"/>
      <c r="I297" s="161"/>
      <c r="J297" s="476" t="s">
        <v>330</v>
      </c>
    </row>
    <row r="298" spans="1:95" s="185" customFormat="1" x14ac:dyDescent="0.25">
      <c r="A298" s="2"/>
      <c r="B298" s="13" t="s">
        <v>240</v>
      </c>
      <c r="C298" s="15"/>
      <c r="D298" s="80"/>
      <c r="E298" s="15" t="s">
        <v>368</v>
      </c>
      <c r="F298" s="21">
        <v>7000</v>
      </c>
      <c r="G298" s="58">
        <f>IF(D298=0,0,IF(D298&lt;=14,F298,"error"))</f>
        <v>0</v>
      </c>
      <c r="H298" s="21">
        <v>7000</v>
      </c>
      <c r="I298" s="58">
        <f>IF(D298=0,0,IF(D298&lt;=14,H298,"error"))</f>
        <v>0</v>
      </c>
      <c r="J298" s="476"/>
    </row>
    <row r="299" spans="1:95" s="185" customFormat="1" x14ac:dyDescent="0.25">
      <c r="A299" s="2"/>
      <c r="B299" s="13" t="s">
        <v>244</v>
      </c>
      <c r="C299" s="15"/>
      <c r="D299" s="80"/>
      <c r="E299" s="15" t="s">
        <v>368</v>
      </c>
      <c r="F299" s="21">
        <v>19600</v>
      </c>
      <c r="G299" s="58">
        <f>IF(D299=0,0,IF(D299&lt;=14,F299,"error"))</f>
        <v>0</v>
      </c>
      <c r="H299" s="21">
        <v>19600</v>
      </c>
      <c r="I299" s="58">
        <f>IF(D299=0,0,IF(D299&lt;=14,H299,"error"))</f>
        <v>0</v>
      </c>
      <c r="J299" s="476"/>
    </row>
    <row r="300" spans="1:95" s="185" customFormat="1" x14ac:dyDescent="0.25">
      <c r="A300" s="2"/>
      <c r="B300" s="13" t="s">
        <v>370</v>
      </c>
      <c r="C300" s="15"/>
      <c r="D300" s="80"/>
      <c r="E300" s="15"/>
      <c r="F300" s="21"/>
      <c r="G300" s="161"/>
      <c r="H300" s="21"/>
      <c r="I300" s="161"/>
      <c r="J300" s="476"/>
    </row>
    <row r="301" spans="1:95" s="185" customFormat="1" x14ac:dyDescent="0.25">
      <c r="A301" s="2"/>
      <c r="B301" s="13" t="s">
        <v>240</v>
      </c>
      <c r="C301" s="15"/>
      <c r="D301" s="80"/>
      <c r="E301" s="15" t="s">
        <v>368</v>
      </c>
      <c r="F301" s="21">
        <v>7000</v>
      </c>
      <c r="G301" s="58">
        <f>IF(D301=0,0,IF(AND(D301&gt;14,D301&lt;=30),F301,"error"))</f>
        <v>0</v>
      </c>
      <c r="H301" s="21">
        <v>7000</v>
      </c>
      <c r="I301" s="58">
        <f>IF(D301=0,0,IF(AND(D301&gt;14,D301&lt;=30),H301,"error"))</f>
        <v>0</v>
      </c>
      <c r="J301" s="476"/>
    </row>
    <row r="302" spans="1:95" s="185" customFormat="1" x14ac:dyDescent="0.25">
      <c r="A302" s="2"/>
      <c r="B302" s="13" t="s">
        <v>244</v>
      </c>
      <c r="C302" s="15"/>
      <c r="D302" s="80"/>
      <c r="E302" s="15" t="s">
        <v>368</v>
      </c>
      <c r="F302" s="21">
        <v>39500</v>
      </c>
      <c r="G302" s="58">
        <f>IF(D302=0,0,IF(AND(D302&gt;14,D302&lt;=30),F302,"error"))</f>
        <v>0</v>
      </c>
      <c r="H302" s="21">
        <v>39500</v>
      </c>
      <c r="I302" s="58">
        <f>IF(D302=0,0,IF(AND(D302&gt;14,D302&lt;=30),H302,"error"))</f>
        <v>0</v>
      </c>
      <c r="J302" s="476"/>
    </row>
    <row r="303" spans="1:95" s="155" customFormat="1" ht="38.25" x14ac:dyDescent="0.25">
      <c r="A303" s="2"/>
      <c r="B303" s="4" t="s">
        <v>101</v>
      </c>
      <c r="C303" s="15" t="s">
        <v>100</v>
      </c>
      <c r="D303" s="80"/>
      <c r="E303" s="15"/>
      <c r="F303" s="260"/>
      <c r="G303" s="1"/>
      <c r="H303" s="1"/>
      <c r="I303" s="161"/>
      <c r="J303" s="199" t="s">
        <v>335</v>
      </c>
    </row>
    <row r="304" spans="1:95" s="155" customFormat="1" x14ac:dyDescent="0.25">
      <c r="A304" s="2"/>
      <c r="B304" s="13" t="s">
        <v>242</v>
      </c>
      <c r="C304" s="15"/>
      <c r="D304" s="80"/>
      <c r="E304" s="15" t="s">
        <v>265</v>
      </c>
      <c r="F304" s="260">
        <v>1800</v>
      </c>
      <c r="G304" s="1">
        <f>D304*F304</f>
        <v>0</v>
      </c>
      <c r="H304" s="21">
        <v>1800</v>
      </c>
      <c r="I304" s="161">
        <f>D304*H304</f>
        <v>0</v>
      </c>
      <c r="J304" s="199" t="s">
        <v>336</v>
      </c>
    </row>
    <row r="305" spans="1:10" s="155" customFormat="1" x14ac:dyDescent="0.25">
      <c r="A305" s="2"/>
      <c r="B305" s="13" t="s">
        <v>266</v>
      </c>
      <c r="C305" s="15"/>
      <c r="D305" s="80"/>
      <c r="E305" s="15" t="s">
        <v>267</v>
      </c>
      <c r="F305" s="260">
        <v>300</v>
      </c>
      <c r="G305" s="10">
        <f>IF(D305=0,0,IF(D305*F305&lt;2100,2100,D305*F305))</f>
        <v>0</v>
      </c>
      <c r="H305" s="124">
        <v>300</v>
      </c>
      <c r="I305" s="163">
        <f>IF(D305=0,0,IF(D305*H305&lt;2100,2100,D305*H305))</f>
        <v>0</v>
      </c>
      <c r="J305" s="121" t="s">
        <v>309</v>
      </c>
    </row>
    <row r="306" spans="1:10" s="155" customFormat="1" x14ac:dyDescent="0.25">
      <c r="A306" s="2"/>
      <c r="B306" s="157" t="s">
        <v>239</v>
      </c>
      <c r="C306" s="5">
        <v>14.12</v>
      </c>
      <c r="D306" s="79"/>
      <c r="E306" s="5"/>
      <c r="F306" s="258"/>
      <c r="G306" s="158"/>
      <c r="H306" s="7"/>
      <c r="I306" s="158"/>
      <c r="J306" s="177"/>
    </row>
    <row r="307" spans="1:10" s="155" customFormat="1" x14ac:dyDescent="0.25">
      <c r="A307" s="2"/>
      <c r="B307" s="13" t="s">
        <v>240</v>
      </c>
      <c r="C307" s="15"/>
      <c r="D307" s="80"/>
      <c r="E307" s="15" t="s">
        <v>265</v>
      </c>
      <c r="F307" s="21">
        <v>1800</v>
      </c>
      <c r="G307" s="161">
        <f>D307*F307</f>
        <v>0</v>
      </c>
      <c r="H307" s="21">
        <v>1800</v>
      </c>
      <c r="I307" s="161">
        <f>D307*H307</f>
        <v>0</v>
      </c>
      <c r="J307" s="168"/>
    </row>
    <row r="308" spans="1:10" s="155" customFormat="1" ht="38.25" x14ac:dyDescent="0.25">
      <c r="A308" s="2"/>
      <c r="B308" s="26" t="s">
        <v>241</v>
      </c>
      <c r="C308" s="17"/>
      <c r="D308" s="80"/>
      <c r="E308" s="15" t="s">
        <v>267</v>
      </c>
      <c r="F308" s="21">
        <v>300</v>
      </c>
      <c r="G308" s="163">
        <f>IF(D308=0,0,IF(D308*F308&lt;2100,2100,D308*F308))</f>
        <v>0</v>
      </c>
      <c r="H308" s="21">
        <v>300</v>
      </c>
      <c r="I308" s="163">
        <f>IF(D308=0,0,IF(D308*H308&lt;2100,2100,D308*H308))</f>
        <v>0</v>
      </c>
      <c r="J308" s="154" t="s">
        <v>337</v>
      </c>
    </row>
    <row r="309" spans="1:10" s="155" customFormat="1" x14ac:dyDescent="0.25">
      <c r="A309" s="2"/>
      <c r="B309" s="157" t="s">
        <v>238</v>
      </c>
      <c r="C309" s="5">
        <v>14.13</v>
      </c>
      <c r="D309" s="79"/>
      <c r="E309" s="5"/>
      <c r="F309" s="258"/>
      <c r="G309" s="158"/>
      <c r="H309" s="7"/>
      <c r="I309" s="158"/>
      <c r="J309" s="177"/>
    </row>
    <row r="310" spans="1:10" s="155" customFormat="1" x14ac:dyDescent="0.25">
      <c r="A310" s="2"/>
      <c r="B310" s="26" t="s">
        <v>240</v>
      </c>
      <c r="C310" s="17"/>
      <c r="D310" s="81"/>
      <c r="E310" s="17" t="s">
        <v>226</v>
      </c>
      <c r="F310" s="124">
        <v>250</v>
      </c>
      <c r="G310" s="163">
        <f>IF(D310=0,0,IF(D310*F310&lt;1250,1250,D310*F310))</f>
        <v>0</v>
      </c>
      <c r="H310" s="124">
        <v>250</v>
      </c>
      <c r="I310" s="163">
        <f>IF(D310=0,0,IF(D310*H310&lt;1250,1250,D310*H310))</f>
        <v>0</v>
      </c>
      <c r="J310" s="154"/>
    </row>
    <row r="311" spans="1:10" s="155" customFormat="1" x14ac:dyDescent="0.25">
      <c r="A311" s="2"/>
      <c r="B311" s="35" t="s">
        <v>237</v>
      </c>
      <c r="C311" s="114">
        <v>14.14</v>
      </c>
      <c r="D311" s="22"/>
      <c r="E311" s="114" t="s">
        <v>226</v>
      </c>
      <c r="F311" s="124">
        <v>250</v>
      </c>
      <c r="G311" s="163">
        <f>IF(D311=0,0,IF(D311*F311&lt;1250,1250,D311*F311))</f>
        <v>0</v>
      </c>
      <c r="H311" s="124">
        <v>250</v>
      </c>
      <c r="I311" s="163">
        <f>IF(D311=0,0,IF(D311*H311&lt;1250,1250,D311*H311))</f>
        <v>0</v>
      </c>
      <c r="J311" s="120"/>
    </row>
    <row r="312" spans="1:10" s="185" customFormat="1" x14ac:dyDescent="0.25">
      <c r="A312" s="2"/>
      <c r="B312" s="119" t="s">
        <v>66</v>
      </c>
      <c r="C312" s="114"/>
      <c r="D312" s="22"/>
      <c r="E312" s="114"/>
      <c r="F312" s="124"/>
      <c r="G312" s="25">
        <f>SUM(G256:G311)</f>
        <v>0</v>
      </c>
      <c r="H312" s="25"/>
      <c r="I312" s="25">
        <f>SUM(I256:I311)</f>
        <v>0</v>
      </c>
      <c r="J312" s="120"/>
    </row>
    <row r="313" spans="1:10" s="185" customFormat="1" x14ac:dyDescent="0.25">
      <c r="A313" s="2"/>
      <c r="B313" s="35" t="s">
        <v>236</v>
      </c>
      <c r="C313" s="114">
        <v>14.16</v>
      </c>
      <c r="D313" s="22"/>
      <c r="E313" s="126">
        <v>0.05</v>
      </c>
      <c r="F313" s="261"/>
      <c r="G313" s="115">
        <f>G312*E313/100</f>
        <v>0</v>
      </c>
      <c r="H313" s="25"/>
      <c r="I313" s="115">
        <f>I312*E313/100</f>
        <v>0</v>
      </c>
      <c r="J313" s="120" t="s">
        <v>298</v>
      </c>
    </row>
    <row r="314" spans="1:10" s="185" customFormat="1" x14ac:dyDescent="0.25">
      <c r="A314" s="3"/>
      <c r="B314" s="119" t="s">
        <v>314</v>
      </c>
      <c r="C314" s="188"/>
      <c r="D314" s="22"/>
      <c r="E314" s="22"/>
      <c r="F314" s="25"/>
      <c r="G314" s="163">
        <f>SUM(G312:G313)</f>
        <v>0</v>
      </c>
      <c r="H314" s="25"/>
      <c r="I314" s="163">
        <f>SUM(I312:I313)</f>
        <v>0</v>
      </c>
      <c r="J314" s="120"/>
    </row>
    <row r="315" spans="1:10" s="155" customFormat="1" x14ac:dyDescent="0.25">
      <c r="A315" s="131"/>
      <c r="B315" s="132"/>
      <c r="C315" s="133"/>
      <c r="D315" s="134"/>
      <c r="E315" s="134"/>
      <c r="F315" s="135"/>
      <c r="G315" s="135"/>
      <c r="H315" s="135"/>
      <c r="I315" s="135"/>
      <c r="J315" s="136"/>
    </row>
    <row r="316" spans="1:10" s="185" customFormat="1" x14ac:dyDescent="0.25">
      <c r="A316" s="81">
        <v>7</v>
      </c>
      <c r="B316" s="4" t="s">
        <v>393</v>
      </c>
      <c r="C316" s="16"/>
      <c r="D316" s="262"/>
      <c r="E316" s="16"/>
      <c r="F316" s="263"/>
      <c r="G316" s="163">
        <f>G74+G106+G164+G234+G253+G314</f>
        <v>2E-3</v>
      </c>
      <c r="H316" s="263"/>
      <c r="I316" s="163">
        <f>I74+I106+I164+I234+I365+I253+I314</f>
        <v>2E-3</v>
      </c>
      <c r="J316" s="264"/>
    </row>
    <row r="317" spans="1:10" s="185" customFormat="1" ht="38.25" x14ac:dyDescent="0.25">
      <c r="A317" s="79">
        <v>8</v>
      </c>
      <c r="B317" s="127" t="s">
        <v>172</v>
      </c>
      <c r="C317" s="5">
        <v>1.1200000000000001</v>
      </c>
      <c r="D317" s="265"/>
      <c r="E317" s="128">
        <v>0.2</v>
      </c>
      <c r="F317" s="266"/>
      <c r="G317" s="158">
        <f>G316*0.2</f>
        <v>4.0000000000000002E-4</v>
      </c>
      <c r="H317" s="266"/>
      <c r="I317" s="158">
        <f>I316*0.2</f>
        <v>4.0000000000000002E-4</v>
      </c>
      <c r="J317" s="118" t="s">
        <v>338</v>
      </c>
    </row>
    <row r="318" spans="1:10" s="185" customFormat="1" x14ac:dyDescent="0.25">
      <c r="A318" s="22">
        <v>9</v>
      </c>
      <c r="B318" s="35" t="s">
        <v>31</v>
      </c>
      <c r="C318" s="267"/>
      <c r="D318" s="230"/>
      <c r="E318" s="230"/>
      <c r="F318" s="268"/>
      <c r="G318" s="269">
        <f>SUM(G316:G317)</f>
        <v>2.4000000000000002E-3</v>
      </c>
      <c r="H318" s="270"/>
      <c r="I318" s="269">
        <f>SUM(I316:I317)</f>
        <v>2.4000000000000002E-3</v>
      </c>
      <c r="J318" s="111"/>
    </row>
    <row r="319" spans="1:10" x14ac:dyDescent="0.25">
      <c r="A319" s="27"/>
      <c r="B319" s="27"/>
      <c r="C319" s="27"/>
      <c r="D319" s="27"/>
      <c r="E319" s="27"/>
      <c r="F319" s="6"/>
      <c r="G319" s="6"/>
      <c r="H319" s="6"/>
      <c r="I319" s="6"/>
      <c r="J319" s="145"/>
    </row>
    <row r="320" spans="1:10" x14ac:dyDescent="0.25">
      <c r="A320" s="471" t="s">
        <v>71</v>
      </c>
      <c r="B320" s="471"/>
      <c r="C320" s="471"/>
      <c r="D320" s="471"/>
      <c r="E320" s="471"/>
      <c r="F320" s="469" t="s">
        <v>180</v>
      </c>
      <c r="G320" s="469"/>
      <c r="H320" s="467" t="s">
        <v>181</v>
      </c>
      <c r="I320" s="468"/>
      <c r="J320" s="98" t="s">
        <v>201</v>
      </c>
    </row>
    <row r="321" spans="1:12" x14ac:dyDescent="0.25">
      <c r="A321" s="149" t="s">
        <v>1</v>
      </c>
      <c r="B321" s="149" t="s">
        <v>2</v>
      </c>
      <c r="C321" s="19" t="s">
        <v>3</v>
      </c>
      <c r="D321" s="149" t="s">
        <v>4</v>
      </c>
      <c r="E321" s="271" t="s">
        <v>5</v>
      </c>
      <c r="F321" s="9" t="s">
        <v>6</v>
      </c>
      <c r="G321" s="19" t="s">
        <v>7</v>
      </c>
      <c r="H321" s="9" t="s">
        <v>6</v>
      </c>
      <c r="I321" s="150" t="s">
        <v>7</v>
      </c>
      <c r="J321" s="482"/>
    </row>
    <row r="322" spans="1:12" x14ac:dyDescent="0.25">
      <c r="A322" s="151" t="s">
        <v>8</v>
      </c>
      <c r="B322" s="151"/>
      <c r="C322" s="20"/>
      <c r="D322" s="151"/>
      <c r="E322" s="272"/>
      <c r="F322" s="151" t="s">
        <v>10</v>
      </c>
      <c r="G322" s="20" t="s">
        <v>10</v>
      </c>
      <c r="H322" s="151" t="s">
        <v>10</v>
      </c>
      <c r="I322" s="85" t="s">
        <v>10</v>
      </c>
      <c r="J322" s="482"/>
    </row>
    <row r="323" spans="1:12" ht="25.5" x14ac:dyDescent="0.25">
      <c r="A323" s="81">
        <v>10</v>
      </c>
      <c r="B323" s="11" t="s">
        <v>11</v>
      </c>
      <c r="C323" s="81">
        <v>4.0999999999999996</v>
      </c>
      <c r="D323" s="81"/>
      <c r="E323" s="273" t="s">
        <v>12</v>
      </c>
      <c r="F323" s="10">
        <f>$F$8</f>
        <v>743</v>
      </c>
      <c r="G323" s="14">
        <f>D323*F323</f>
        <v>0</v>
      </c>
      <c r="H323" s="10">
        <f>$H$8</f>
        <v>966</v>
      </c>
      <c r="I323" s="163">
        <f>D323*H323</f>
        <v>0</v>
      </c>
      <c r="J323" s="154" t="s">
        <v>174</v>
      </c>
    </row>
    <row r="324" spans="1:12" ht="127.5" x14ac:dyDescent="0.25">
      <c r="A324" s="79">
        <v>11</v>
      </c>
      <c r="B324" s="42" t="s">
        <v>32</v>
      </c>
      <c r="C324" s="43">
        <v>4.2</v>
      </c>
      <c r="D324" s="53"/>
      <c r="E324" s="63"/>
      <c r="F324" s="54"/>
      <c r="G324" s="44"/>
      <c r="H324" s="54"/>
      <c r="I324" s="274"/>
      <c r="J324" s="99" t="s">
        <v>343</v>
      </c>
    </row>
    <row r="325" spans="1:12" x14ac:dyDescent="0.25">
      <c r="A325" s="2"/>
      <c r="B325" s="51" t="s">
        <v>33</v>
      </c>
      <c r="C325" s="46">
        <v>1.3</v>
      </c>
      <c r="D325" s="172"/>
      <c r="E325" s="64" t="s">
        <v>12</v>
      </c>
      <c r="F325" s="47">
        <f>$F$8</f>
        <v>743</v>
      </c>
      <c r="G325" s="47">
        <f>D325*F325</f>
        <v>0</v>
      </c>
      <c r="H325" s="47">
        <f>$H$8</f>
        <v>966</v>
      </c>
      <c r="I325" s="275">
        <f>D325*H325</f>
        <v>0</v>
      </c>
      <c r="J325" s="100"/>
    </row>
    <row r="326" spans="1:12" x14ac:dyDescent="0.25">
      <c r="A326" s="2"/>
      <c r="B326" s="51" t="s">
        <v>35</v>
      </c>
      <c r="C326" s="46">
        <v>1.3</v>
      </c>
      <c r="D326" s="172"/>
      <c r="E326" s="46" t="s">
        <v>12</v>
      </c>
      <c r="F326" s="47">
        <f>$F$8*2</f>
        <v>1486</v>
      </c>
      <c r="G326" s="47">
        <f t="shared" ref="G326:G327" si="63">D326*F326</f>
        <v>0</v>
      </c>
      <c r="H326" s="47">
        <f>$H$8*2</f>
        <v>1932</v>
      </c>
      <c r="I326" s="275">
        <f>D326*H326</f>
        <v>0</v>
      </c>
      <c r="J326" s="100"/>
    </row>
    <row r="327" spans="1:12" x14ac:dyDescent="0.25">
      <c r="A327" s="3"/>
      <c r="B327" s="48" t="s">
        <v>111</v>
      </c>
      <c r="C327" s="65">
        <v>1.3</v>
      </c>
      <c r="D327" s="222"/>
      <c r="E327" s="66" t="s">
        <v>12</v>
      </c>
      <c r="F327" s="50">
        <f>$F$8*3</f>
        <v>2229</v>
      </c>
      <c r="G327" s="47">
        <f t="shared" si="63"/>
        <v>0</v>
      </c>
      <c r="H327" s="50">
        <f>$H$8*3</f>
        <v>2898</v>
      </c>
      <c r="I327" s="275">
        <f>D327*H327</f>
        <v>0</v>
      </c>
      <c r="J327" s="101"/>
    </row>
    <row r="328" spans="1:12" ht="127.5" x14ac:dyDescent="0.25">
      <c r="A328" s="79">
        <v>12</v>
      </c>
      <c r="B328" s="42" t="s">
        <v>21</v>
      </c>
      <c r="C328" s="43">
        <v>4.3</v>
      </c>
      <c r="D328" s="53"/>
      <c r="E328" s="53"/>
      <c r="F328" s="54"/>
      <c r="G328" s="44"/>
      <c r="H328" s="54"/>
      <c r="I328" s="274"/>
      <c r="J328" s="99" t="s">
        <v>386</v>
      </c>
      <c r="K328" s="464" t="s">
        <v>399</v>
      </c>
      <c r="L328" s="465"/>
    </row>
    <row r="329" spans="1:12" ht="25.5" x14ac:dyDescent="0.25">
      <c r="A329" s="80"/>
      <c r="B329" s="51" t="s">
        <v>132</v>
      </c>
      <c r="C329" s="46" t="s">
        <v>22</v>
      </c>
      <c r="D329" s="46"/>
      <c r="E329" s="276" t="s">
        <v>69</v>
      </c>
      <c r="F329" s="47">
        <f>2*1000</f>
        <v>2000</v>
      </c>
      <c r="G329" s="47">
        <f>D329*F329</f>
        <v>0</v>
      </c>
      <c r="H329" s="47">
        <f>2.6*1000</f>
        <v>2600</v>
      </c>
      <c r="I329" s="275">
        <f>D329*H329</f>
        <v>0</v>
      </c>
      <c r="J329" s="165" t="s">
        <v>182</v>
      </c>
    </row>
    <row r="330" spans="1:12" ht="25.5" x14ac:dyDescent="0.25">
      <c r="A330" s="81"/>
      <c r="B330" s="52" t="s">
        <v>133</v>
      </c>
      <c r="C330" s="49" t="s">
        <v>22</v>
      </c>
      <c r="D330" s="49"/>
      <c r="E330" s="277" t="s">
        <v>69</v>
      </c>
      <c r="F330" s="50">
        <f>2.5*1000</f>
        <v>2500</v>
      </c>
      <c r="G330" s="47">
        <f>D330*F330</f>
        <v>0</v>
      </c>
      <c r="H330" s="47">
        <f>3.25*1000</f>
        <v>3250</v>
      </c>
      <c r="I330" s="275">
        <f>D330*H330</f>
        <v>0</v>
      </c>
      <c r="J330" s="102" t="s">
        <v>183</v>
      </c>
    </row>
    <row r="331" spans="1:12" s="185" customFormat="1" x14ac:dyDescent="0.25">
      <c r="A331" s="79"/>
      <c r="B331" s="157" t="s">
        <v>23</v>
      </c>
      <c r="C331" s="79">
        <v>4.4000000000000004</v>
      </c>
      <c r="D331" s="166"/>
      <c r="E331" s="278"/>
      <c r="F331" s="7"/>
      <c r="G331" s="7"/>
      <c r="H331" s="7"/>
      <c r="I331" s="248"/>
      <c r="J331" s="167"/>
    </row>
    <row r="332" spans="1:12" s="185" customFormat="1" ht="25.5" x14ac:dyDescent="0.25">
      <c r="A332" s="80"/>
      <c r="B332" s="13" t="s">
        <v>135</v>
      </c>
      <c r="C332" s="80" t="s">
        <v>24</v>
      </c>
      <c r="D332" s="80"/>
      <c r="E332" s="279" t="s">
        <v>69</v>
      </c>
      <c r="F332" s="1">
        <f>$F$8/1.6</f>
        <v>464.375</v>
      </c>
      <c r="G332" s="1">
        <f>D332*F332</f>
        <v>0</v>
      </c>
      <c r="H332" s="1">
        <f>$H$8/1.6</f>
        <v>603.75</v>
      </c>
      <c r="I332" s="280">
        <f>D332*H332</f>
        <v>0</v>
      </c>
      <c r="J332" s="168" t="s">
        <v>422</v>
      </c>
    </row>
    <row r="333" spans="1:12" s="185" customFormat="1" x14ac:dyDescent="0.25">
      <c r="A333" s="81"/>
      <c r="B333" s="26" t="s">
        <v>134</v>
      </c>
      <c r="C333" s="81" t="s">
        <v>24</v>
      </c>
      <c r="D333" s="81"/>
      <c r="E333" s="273" t="s">
        <v>69</v>
      </c>
      <c r="F333" s="1">
        <f>$F$8/1</f>
        <v>743</v>
      </c>
      <c r="G333" s="1">
        <f>D333*F333</f>
        <v>0</v>
      </c>
      <c r="H333" s="1">
        <f>$H$8/1</f>
        <v>966</v>
      </c>
      <c r="I333" s="280">
        <f>D333*H333</f>
        <v>0</v>
      </c>
      <c r="J333" s="169" t="s">
        <v>184</v>
      </c>
    </row>
    <row r="334" spans="1:12" s="185" customFormat="1" x14ac:dyDescent="0.25">
      <c r="A334" s="80"/>
      <c r="B334" s="51" t="s">
        <v>129</v>
      </c>
      <c r="C334" s="46" t="s">
        <v>19</v>
      </c>
      <c r="D334" s="172"/>
      <c r="E334" s="46"/>
      <c r="F334" s="47"/>
      <c r="G334" s="47"/>
      <c r="H334" s="47"/>
      <c r="I334" s="275"/>
      <c r="J334" s="100"/>
    </row>
    <row r="335" spans="1:12" s="185" customFormat="1" x14ac:dyDescent="0.25">
      <c r="A335" s="80"/>
      <c r="B335" s="45" t="s">
        <v>130</v>
      </c>
      <c r="C335" s="46" t="s">
        <v>20</v>
      </c>
      <c r="D335" s="172"/>
      <c r="E335" s="46" t="s">
        <v>60</v>
      </c>
      <c r="F335" s="47">
        <f>$F$8/4</f>
        <v>185.75</v>
      </c>
      <c r="G335" s="47">
        <f t="shared" ref="G335:G336" si="64">D335*F335</f>
        <v>0</v>
      </c>
      <c r="H335" s="47">
        <f>$H$8/4</f>
        <v>241.5</v>
      </c>
      <c r="I335" s="275">
        <f t="shared" ref="I335:I336" si="65">D335*H335</f>
        <v>0</v>
      </c>
      <c r="J335" s="108"/>
    </row>
    <row r="336" spans="1:12" s="185" customFormat="1" x14ac:dyDescent="0.25">
      <c r="A336" s="80"/>
      <c r="B336" s="45" t="s">
        <v>127</v>
      </c>
      <c r="C336" s="46" t="s">
        <v>20</v>
      </c>
      <c r="D336" s="51"/>
      <c r="E336" s="46" t="s">
        <v>60</v>
      </c>
      <c r="F336" s="47">
        <f>$F$8/2</f>
        <v>371.5</v>
      </c>
      <c r="G336" s="47">
        <f t="shared" si="64"/>
        <v>0</v>
      </c>
      <c r="H336" s="47">
        <f>$H$8/2</f>
        <v>483</v>
      </c>
      <c r="I336" s="275">
        <f t="shared" si="65"/>
        <v>0</v>
      </c>
      <c r="J336" s="108"/>
    </row>
    <row r="337" spans="1:95" s="185" customFormat="1" ht="102" x14ac:dyDescent="0.25">
      <c r="A337" s="279"/>
      <c r="B337" s="62" t="s">
        <v>143</v>
      </c>
      <c r="C337" s="46" t="s">
        <v>26</v>
      </c>
      <c r="D337" s="45"/>
      <c r="E337" s="46"/>
      <c r="F337" s="45"/>
      <c r="G337" s="47"/>
      <c r="H337" s="45"/>
      <c r="I337" s="275"/>
      <c r="J337" s="99" t="s">
        <v>387</v>
      </c>
    </row>
    <row r="338" spans="1:95" s="185" customFormat="1" ht="25.5" x14ac:dyDescent="0.25">
      <c r="A338" s="281"/>
      <c r="B338" s="62" t="s">
        <v>112</v>
      </c>
      <c r="C338" s="46" t="s">
        <v>107</v>
      </c>
      <c r="D338" s="45"/>
      <c r="E338" s="46" t="s">
        <v>12</v>
      </c>
      <c r="F338" s="47">
        <f>$F$8*1.25</f>
        <v>928.75</v>
      </c>
      <c r="G338" s="47">
        <f>D338*F338</f>
        <v>0</v>
      </c>
      <c r="H338" s="58">
        <f>$H$8*1.25</f>
        <v>1207.5</v>
      </c>
      <c r="I338" s="275">
        <f>D338*H338</f>
        <v>0</v>
      </c>
      <c r="J338" s="165" t="s">
        <v>374</v>
      </c>
    </row>
    <row r="339" spans="1:95" s="185" customFormat="1" ht="25.5" x14ac:dyDescent="0.25">
      <c r="A339" s="281"/>
      <c r="B339" s="62" t="s">
        <v>141</v>
      </c>
      <c r="C339" s="46" t="s">
        <v>108</v>
      </c>
      <c r="D339" s="45"/>
      <c r="E339" s="46" t="s">
        <v>12</v>
      </c>
      <c r="F339" s="47">
        <f>$F$8*1.5</f>
        <v>1114.5</v>
      </c>
      <c r="G339" s="47">
        <f t="shared" ref="G339:G340" si="66">D339*F339</f>
        <v>0</v>
      </c>
      <c r="H339" s="58">
        <f>$H$8*1.5</f>
        <v>1449</v>
      </c>
      <c r="I339" s="275">
        <f t="shared" ref="I339:I340" si="67">D339*H339</f>
        <v>0</v>
      </c>
      <c r="J339" s="165" t="s">
        <v>375</v>
      </c>
    </row>
    <row r="340" spans="1:95" s="185" customFormat="1" ht="25.5" x14ac:dyDescent="0.25">
      <c r="A340" s="281"/>
      <c r="B340" s="282" t="s">
        <v>142</v>
      </c>
      <c r="C340" s="49" t="s">
        <v>109</v>
      </c>
      <c r="D340" s="48"/>
      <c r="E340" s="49" t="s">
        <v>12</v>
      </c>
      <c r="F340" s="50">
        <v>900</v>
      </c>
      <c r="G340" s="50">
        <f t="shared" si="66"/>
        <v>0</v>
      </c>
      <c r="H340" s="50">
        <v>900</v>
      </c>
      <c r="I340" s="283">
        <f t="shared" si="67"/>
        <v>0</v>
      </c>
      <c r="J340" s="102" t="s">
        <v>376</v>
      </c>
    </row>
    <row r="341" spans="1:95" s="185" customFormat="1" x14ac:dyDescent="0.25">
      <c r="A341" s="284"/>
      <c r="B341" s="129" t="s">
        <v>353</v>
      </c>
      <c r="C341" s="80">
        <v>1.9</v>
      </c>
      <c r="D341" s="232"/>
      <c r="E341" s="279"/>
      <c r="F341" s="1"/>
      <c r="G341" s="211"/>
      <c r="H341" s="212"/>
      <c r="I341" s="280"/>
      <c r="J341" s="168"/>
    </row>
    <row r="342" spans="1:95" s="187" customFormat="1" ht="25.5" x14ac:dyDescent="0.25">
      <c r="A342" s="3"/>
      <c r="B342" s="178" t="s">
        <v>261</v>
      </c>
      <c r="C342" s="17">
        <v>1.9</v>
      </c>
      <c r="D342" s="179"/>
      <c r="E342" s="17"/>
      <c r="F342" s="47">
        <f>$F$8*1.2</f>
        <v>891.6</v>
      </c>
      <c r="G342" s="50">
        <f>D342*F342</f>
        <v>0</v>
      </c>
      <c r="H342" s="47">
        <f>$H$8*1.2</f>
        <v>1159.2</v>
      </c>
      <c r="I342" s="212">
        <f>D342*H342</f>
        <v>0</v>
      </c>
      <c r="J342" s="165" t="s">
        <v>377</v>
      </c>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85"/>
      <c r="AX342" s="185"/>
      <c r="AY342" s="185"/>
      <c r="AZ342" s="185"/>
      <c r="BA342" s="185"/>
      <c r="BB342" s="185"/>
      <c r="BC342" s="185"/>
      <c r="BD342" s="185"/>
      <c r="BE342" s="185"/>
      <c r="BF342" s="185"/>
      <c r="BG342" s="185"/>
      <c r="BH342" s="185"/>
      <c r="BI342" s="185"/>
      <c r="BJ342" s="185"/>
      <c r="BK342" s="185"/>
      <c r="BL342" s="185"/>
      <c r="BM342" s="185"/>
      <c r="BN342" s="185"/>
      <c r="BO342" s="185"/>
      <c r="BP342" s="185"/>
      <c r="BQ342" s="185"/>
      <c r="BR342" s="185"/>
      <c r="BS342" s="185"/>
      <c r="BT342" s="185"/>
      <c r="BU342" s="185"/>
      <c r="BV342" s="185"/>
      <c r="BW342" s="185"/>
      <c r="BX342" s="185"/>
      <c r="BY342" s="185"/>
      <c r="BZ342" s="185"/>
      <c r="CA342" s="185"/>
      <c r="CB342" s="185"/>
      <c r="CC342" s="185"/>
      <c r="CD342" s="185"/>
      <c r="CE342" s="185"/>
      <c r="CF342" s="185"/>
      <c r="CG342" s="185"/>
      <c r="CH342" s="185"/>
      <c r="CI342" s="185"/>
      <c r="CJ342" s="185"/>
      <c r="CK342" s="185"/>
      <c r="CL342" s="185"/>
      <c r="CM342" s="185"/>
      <c r="CN342" s="185"/>
      <c r="CO342" s="185"/>
      <c r="CP342" s="185"/>
      <c r="CQ342" s="185"/>
    </row>
    <row r="343" spans="1:95" x14ac:dyDescent="0.25">
      <c r="A343" s="79">
        <v>13</v>
      </c>
      <c r="B343" s="42" t="s">
        <v>36</v>
      </c>
      <c r="C343" s="76" t="s">
        <v>169</v>
      </c>
      <c r="D343" s="171"/>
      <c r="E343" s="61"/>
      <c r="F343" s="44"/>
      <c r="G343" s="44"/>
      <c r="H343" s="44"/>
      <c r="I343" s="274"/>
      <c r="J343" s="105"/>
    </row>
    <row r="344" spans="1:95" x14ac:dyDescent="0.25">
      <c r="A344" s="80"/>
      <c r="B344" s="51" t="s">
        <v>144</v>
      </c>
      <c r="C344" s="73"/>
      <c r="D344" s="172"/>
      <c r="E344" s="64"/>
      <c r="F344" s="67"/>
      <c r="G344" s="47"/>
      <c r="H344" s="67"/>
      <c r="I344" s="275"/>
      <c r="J344" s="100" t="s">
        <v>165</v>
      </c>
    </row>
    <row r="345" spans="1:95" ht="38.25" x14ac:dyDescent="0.25">
      <c r="A345" s="80"/>
      <c r="B345" s="45" t="s">
        <v>146</v>
      </c>
      <c r="C345" s="73">
        <v>4.1399999999999997</v>
      </c>
      <c r="D345" s="46"/>
      <c r="E345" s="46" t="s">
        <v>69</v>
      </c>
      <c r="F345" s="47">
        <f>$F$8*2.5</f>
        <v>1857.5</v>
      </c>
      <c r="G345" s="47">
        <f>D345*F345</f>
        <v>0</v>
      </c>
      <c r="H345" s="47">
        <f>$H$8*2.5</f>
        <v>2415</v>
      </c>
      <c r="I345" s="275">
        <f>D345*H345</f>
        <v>0</v>
      </c>
      <c r="J345" s="165" t="s">
        <v>193</v>
      </c>
    </row>
    <row r="346" spans="1:95" x14ac:dyDescent="0.25">
      <c r="A346" s="80"/>
      <c r="B346" s="45" t="s">
        <v>145</v>
      </c>
      <c r="C346" s="46">
        <v>4.1399999999999997</v>
      </c>
      <c r="D346" s="46"/>
      <c r="E346" s="46" t="s">
        <v>69</v>
      </c>
      <c r="F346" s="47">
        <f>$F$8*3</f>
        <v>2229</v>
      </c>
      <c r="G346" s="47">
        <f t="shared" ref="G346:G348" si="68">D346*F346</f>
        <v>0</v>
      </c>
      <c r="H346" s="47">
        <f>$H$8*3</f>
        <v>2898</v>
      </c>
      <c r="I346" s="275">
        <f t="shared" ref="I346:I349" si="69">D346*H346</f>
        <v>0</v>
      </c>
      <c r="J346" s="100" t="s">
        <v>194</v>
      </c>
    </row>
    <row r="347" spans="1:95" x14ac:dyDescent="0.25">
      <c r="A347" s="80"/>
      <c r="B347" s="51" t="s">
        <v>147</v>
      </c>
      <c r="C347" s="77"/>
      <c r="D347" s="51"/>
      <c r="E347" s="78"/>
      <c r="F347" s="67"/>
      <c r="G347" s="47">
        <f t="shared" si="68"/>
        <v>0</v>
      </c>
      <c r="H347" s="67"/>
      <c r="I347" s="275">
        <f>D347*H347</f>
        <v>0</v>
      </c>
      <c r="J347" s="100" t="s">
        <v>165</v>
      </c>
    </row>
    <row r="348" spans="1:95" ht="25.5" x14ac:dyDescent="0.25">
      <c r="A348" s="80"/>
      <c r="B348" s="45" t="s">
        <v>146</v>
      </c>
      <c r="C348" s="73" t="s">
        <v>37</v>
      </c>
      <c r="D348" s="46"/>
      <c r="E348" s="46" t="s">
        <v>69</v>
      </c>
      <c r="F348" s="47">
        <f>2*1000</f>
        <v>2000</v>
      </c>
      <c r="G348" s="47">
        <f t="shared" si="68"/>
        <v>0</v>
      </c>
      <c r="H348" s="47">
        <f>2.6*1000</f>
        <v>2600</v>
      </c>
      <c r="I348" s="275">
        <f t="shared" si="69"/>
        <v>0</v>
      </c>
      <c r="J348" s="165" t="s">
        <v>182</v>
      </c>
    </row>
    <row r="349" spans="1:95" ht="25.5" x14ac:dyDescent="0.25">
      <c r="A349" s="81"/>
      <c r="B349" s="48" t="s">
        <v>148</v>
      </c>
      <c r="C349" s="65" t="s">
        <v>37</v>
      </c>
      <c r="D349" s="65"/>
      <c r="E349" s="49" t="s">
        <v>69</v>
      </c>
      <c r="F349" s="50">
        <f>2.5*1000</f>
        <v>2500</v>
      </c>
      <c r="G349" s="47">
        <f>D349*F349</f>
        <v>0</v>
      </c>
      <c r="H349" s="50">
        <f>3.25*1000</f>
        <v>3250</v>
      </c>
      <c r="I349" s="275">
        <f t="shared" si="69"/>
        <v>0</v>
      </c>
      <c r="J349" s="102" t="s">
        <v>183</v>
      </c>
    </row>
    <row r="350" spans="1:95" x14ac:dyDescent="0.25">
      <c r="A350" s="79">
        <v>14</v>
      </c>
      <c r="B350" s="285" t="s">
        <v>70</v>
      </c>
      <c r="C350" s="43"/>
      <c r="D350" s="55"/>
      <c r="E350" s="43"/>
      <c r="F350" s="56"/>
      <c r="G350" s="44"/>
      <c r="H350" s="56"/>
      <c r="I350" s="274"/>
      <c r="J350" s="105" t="s">
        <v>165</v>
      </c>
    </row>
    <row r="351" spans="1:95" x14ac:dyDescent="0.25">
      <c r="A351" s="80"/>
      <c r="B351" s="57" t="s">
        <v>117</v>
      </c>
      <c r="C351" s="46" t="s">
        <v>76</v>
      </c>
      <c r="D351" s="286"/>
      <c r="E351" s="46" t="s">
        <v>69</v>
      </c>
      <c r="F351" s="58">
        <f>$F$8*3.75</f>
        <v>2786.25</v>
      </c>
      <c r="G351" s="47">
        <f>D351*F351</f>
        <v>0</v>
      </c>
      <c r="H351" s="58">
        <f>$H$8*3.75</f>
        <v>3622.5</v>
      </c>
      <c r="I351" s="275">
        <f>D351*H351</f>
        <v>0</v>
      </c>
      <c r="J351" s="100" t="s">
        <v>195</v>
      </c>
    </row>
    <row r="352" spans="1:95" x14ac:dyDescent="0.25">
      <c r="A352" s="81"/>
      <c r="B352" s="59" t="s">
        <v>149</v>
      </c>
      <c r="C352" s="49" t="s">
        <v>76</v>
      </c>
      <c r="D352" s="287"/>
      <c r="E352" s="49" t="s">
        <v>69</v>
      </c>
      <c r="F352" s="58">
        <f>$F$8*5.5</f>
        <v>4086.5</v>
      </c>
      <c r="G352" s="47">
        <f>D352*F352</f>
        <v>0</v>
      </c>
      <c r="H352" s="58">
        <f>$H$8*5.5</f>
        <v>5313</v>
      </c>
      <c r="I352" s="275">
        <f>D352*H352</f>
        <v>0</v>
      </c>
      <c r="J352" s="101" t="s">
        <v>196</v>
      </c>
    </row>
    <row r="353" spans="1:10" x14ac:dyDescent="0.25">
      <c r="A353" s="79">
        <v>15</v>
      </c>
      <c r="B353" s="42" t="s">
        <v>43</v>
      </c>
      <c r="C353" s="43"/>
      <c r="D353" s="43"/>
      <c r="E353" s="43"/>
      <c r="F353" s="44"/>
      <c r="G353" s="44"/>
      <c r="H353" s="44"/>
      <c r="I353" s="274"/>
      <c r="J353" s="105" t="s">
        <v>178</v>
      </c>
    </row>
    <row r="354" spans="1:10" x14ac:dyDescent="0.25">
      <c r="A354" s="80"/>
      <c r="B354" s="51" t="s">
        <v>150</v>
      </c>
      <c r="C354" s="46"/>
      <c r="D354" s="46"/>
      <c r="E354" s="46"/>
      <c r="F354" s="47"/>
      <c r="G354" s="47"/>
      <c r="H354" s="47"/>
      <c r="I354" s="275"/>
      <c r="J354" s="207"/>
    </row>
    <row r="355" spans="1:10" x14ac:dyDescent="0.25">
      <c r="A355" s="80"/>
      <c r="B355" s="45" t="s">
        <v>123</v>
      </c>
      <c r="C355" s="46" t="s">
        <v>34</v>
      </c>
      <c r="D355" s="172"/>
      <c r="E355" s="46" t="s">
        <v>12</v>
      </c>
      <c r="F355" s="47">
        <f>$F$8</f>
        <v>743</v>
      </c>
      <c r="G355" s="47">
        <f>D355*F355</f>
        <v>0</v>
      </c>
      <c r="H355" s="47">
        <f>$H$8</f>
        <v>966</v>
      </c>
      <c r="I355" s="275">
        <f>D355*H355</f>
        <v>0</v>
      </c>
      <c r="J355" s="207"/>
    </row>
    <row r="356" spans="1:10" x14ac:dyDescent="0.25">
      <c r="A356" s="80"/>
      <c r="B356" s="45" t="s">
        <v>151</v>
      </c>
      <c r="C356" s="46" t="s">
        <v>34</v>
      </c>
      <c r="D356" s="172"/>
      <c r="E356" s="46" t="s">
        <v>12</v>
      </c>
      <c r="F356" s="47">
        <f>$F$8*2</f>
        <v>1486</v>
      </c>
      <c r="G356" s="47">
        <f t="shared" ref="G356:G360" si="70">D356*F356</f>
        <v>0</v>
      </c>
      <c r="H356" s="47">
        <f>$H$8*2</f>
        <v>1932</v>
      </c>
      <c r="I356" s="275">
        <f t="shared" ref="I356:I360" si="71">D356*H356</f>
        <v>0</v>
      </c>
      <c r="J356" s="207"/>
    </row>
    <row r="357" spans="1:10" x14ac:dyDescent="0.25">
      <c r="A357" s="80"/>
      <c r="B357" s="45" t="s">
        <v>116</v>
      </c>
      <c r="C357" s="46" t="s">
        <v>34</v>
      </c>
      <c r="D357" s="172"/>
      <c r="E357" s="46" t="s">
        <v>12</v>
      </c>
      <c r="F357" s="47">
        <f>$F$8*3</f>
        <v>2229</v>
      </c>
      <c r="G357" s="47">
        <f t="shared" si="70"/>
        <v>0</v>
      </c>
      <c r="H357" s="47">
        <f>$H$8*3</f>
        <v>2898</v>
      </c>
      <c r="I357" s="275">
        <f t="shared" si="71"/>
        <v>0</v>
      </c>
      <c r="J357" s="207"/>
    </row>
    <row r="358" spans="1:10" x14ac:dyDescent="0.25">
      <c r="A358" s="80"/>
      <c r="B358" s="51" t="s">
        <v>44</v>
      </c>
      <c r="C358" s="46"/>
      <c r="D358" s="51"/>
      <c r="E358" s="51"/>
      <c r="F358" s="67"/>
      <c r="G358" s="47"/>
      <c r="H358" s="67"/>
      <c r="I358" s="275"/>
      <c r="J358" s="207"/>
    </row>
    <row r="359" spans="1:10" x14ac:dyDescent="0.25">
      <c r="A359" s="80"/>
      <c r="B359" s="45" t="s">
        <v>146</v>
      </c>
      <c r="C359" s="46" t="s">
        <v>45</v>
      </c>
      <c r="D359" s="46"/>
      <c r="E359" s="46" t="s">
        <v>69</v>
      </c>
      <c r="F359" s="47">
        <f>2*1000+$F$8/1.6</f>
        <v>2464.375</v>
      </c>
      <c r="G359" s="47">
        <f t="shared" si="70"/>
        <v>0</v>
      </c>
      <c r="H359" s="47">
        <f>2.6*1000+$H$8/1.6</f>
        <v>3203.75</v>
      </c>
      <c r="I359" s="275">
        <f t="shared" si="71"/>
        <v>0</v>
      </c>
      <c r="J359" s="165" t="s">
        <v>197</v>
      </c>
    </row>
    <row r="360" spans="1:10" x14ac:dyDescent="0.25">
      <c r="A360" s="81"/>
      <c r="B360" s="48" t="s">
        <v>148</v>
      </c>
      <c r="C360" s="49" t="s">
        <v>45</v>
      </c>
      <c r="D360" s="49"/>
      <c r="E360" s="49" t="s">
        <v>69</v>
      </c>
      <c r="F360" s="47">
        <f>2.5*1000+$F$8/1</f>
        <v>3243</v>
      </c>
      <c r="G360" s="50">
        <f t="shared" si="70"/>
        <v>0</v>
      </c>
      <c r="H360" s="50">
        <f>3.25*1000+$H$8/1</f>
        <v>4216</v>
      </c>
      <c r="I360" s="283">
        <f t="shared" si="71"/>
        <v>0</v>
      </c>
      <c r="J360" s="102" t="s">
        <v>198</v>
      </c>
    </row>
    <row r="361" spans="1:10" ht="102" x14ac:dyDescent="0.25">
      <c r="A361" s="149">
        <v>16</v>
      </c>
      <c r="B361" s="170" t="s">
        <v>362</v>
      </c>
      <c r="C361" s="61">
        <v>10.15</v>
      </c>
      <c r="D361" s="171"/>
      <c r="E361" s="61"/>
      <c r="F361" s="44"/>
      <c r="G361" s="56"/>
      <c r="H361" s="44"/>
      <c r="I361" s="56"/>
      <c r="J361" s="99" t="s">
        <v>396</v>
      </c>
    </row>
    <row r="362" spans="1:10" x14ac:dyDescent="0.25">
      <c r="A362" s="80"/>
      <c r="B362" s="77" t="s">
        <v>131</v>
      </c>
      <c r="C362" s="64">
        <v>10.15</v>
      </c>
      <c r="D362" s="172"/>
      <c r="E362" s="64" t="s">
        <v>119</v>
      </c>
      <c r="F362" s="47">
        <v>92.88</v>
      </c>
      <c r="G362" s="58">
        <f>D362*F362</f>
        <v>0</v>
      </c>
      <c r="H362" s="47">
        <v>92.88</v>
      </c>
      <c r="I362" s="58">
        <f>D362*H362</f>
        <v>0</v>
      </c>
      <c r="J362" s="100" t="s">
        <v>175</v>
      </c>
    </row>
    <row r="363" spans="1:10" x14ac:dyDescent="0.25">
      <c r="A363" s="80"/>
      <c r="B363" s="77" t="s">
        <v>84</v>
      </c>
      <c r="C363" s="64">
        <v>10.15</v>
      </c>
      <c r="D363" s="172"/>
      <c r="E363" s="64" t="s">
        <v>119</v>
      </c>
      <c r="F363" s="47">
        <v>139.31</v>
      </c>
      <c r="G363" s="58">
        <f>D363*F363</f>
        <v>0</v>
      </c>
      <c r="H363" s="47">
        <v>139.31</v>
      </c>
      <c r="I363" s="58">
        <f>D363*H363</f>
        <v>0</v>
      </c>
      <c r="J363" s="100" t="s">
        <v>175</v>
      </c>
    </row>
    <row r="364" spans="1:10" x14ac:dyDescent="0.25">
      <c r="A364" s="80"/>
      <c r="B364" s="90" t="s">
        <v>121</v>
      </c>
      <c r="C364" s="66">
        <v>10.15</v>
      </c>
      <c r="D364" s="222"/>
      <c r="E364" s="66" t="s">
        <v>119</v>
      </c>
      <c r="F364" s="50">
        <v>139.31</v>
      </c>
      <c r="G364" s="60">
        <f>D364*F364</f>
        <v>0</v>
      </c>
      <c r="H364" s="50">
        <v>139.31</v>
      </c>
      <c r="I364" s="60">
        <f>D364*H364</f>
        <v>0</v>
      </c>
      <c r="J364" s="101" t="s">
        <v>175</v>
      </c>
    </row>
    <row r="365" spans="1:10" s="185" customFormat="1" x14ac:dyDescent="0.25">
      <c r="A365" s="3"/>
      <c r="B365" s="119" t="s">
        <v>395</v>
      </c>
      <c r="C365" s="188"/>
      <c r="D365" s="22"/>
      <c r="E365" s="22"/>
      <c r="F365" s="25"/>
      <c r="G365" s="25">
        <f>SUM(G362:G364)</f>
        <v>0</v>
      </c>
      <c r="H365" s="25"/>
      <c r="I365" s="25">
        <f>SUM(I362:I364)</f>
        <v>0</v>
      </c>
      <c r="J365" s="120"/>
    </row>
    <row r="366" spans="1:10" x14ac:dyDescent="0.25">
      <c r="A366" s="22">
        <v>17</v>
      </c>
      <c r="B366" s="4" t="s">
        <v>394</v>
      </c>
      <c r="C366" s="234"/>
      <c r="D366" s="234"/>
      <c r="E366" s="23"/>
      <c r="F366" s="234"/>
      <c r="G366" s="14">
        <f>SUM(G323:G365)</f>
        <v>0</v>
      </c>
      <c r="H366" s="262"/>
      <c r="I366" s="163">
        <f>SUM(I323:I365)</f>
        <v>0</v>
      </c>
      <c r="J366" s="111"/>
    </row>
    <row r="367" spans="1:10" ht="25.5" x14ac:dyDescent="0.25">
      <c r="A367" s="22">
        <v>18</v>
      </c>
      <c r="B367" s="288" t="s">
        <v>173</v>
      </c>
      <c r="C367" s="81" t="s">
        <v>30</v>
      </c>
      <c r="D367" s="262"/>
      <c r="E367" s="81" t="s">
        <v>371</v>
      </c>
      <c r="F367" s="289"/>
      <c r="G367" s="14">
        <f>G366*0.2</f>
        <v>0</v>
      </c>
      <c r="H367" s="289"/>
      <c r="I367" s="163">
        <f>I366*0.2</f>
        <v>0</v>
      </c>
      <c r="J367" s="169"/>
    </row>
    <row r="368" spans="1:10" x14ac:dyDescent="0.25">
      <c r="A368" s="22">
        <v>19</v>
      </c>
      <c r="B368" s="33" t="s">
        <v>46</v>
      </c>
      <c r="C368" s="290"/>
      <c r="D368" s="230"/>
      <c r="E368" s="226"/>
      <c r="F368" s="291"/>
      <c r="G368" s="34">
        <f>SUM(G366:G367)</f>
        <v>0</v>
      </c>
      <c r="H368" s="228"/>
      <c r="I368" s="292">
        <f>SUM(I366:I367)</f>
        <v>0</v>
      </c>
      <c r="J368" s="103"/>
    </row>
    <row r="369" spans="1:10" x14ac:dyDescent="0.25">
      <c r="A369" s="15"/>
      <c r="B369" s="12"/>
      <c r="C369" s="15"/>
      <c r="E369" s="15"/>
      <c r="F369" s="161"/>
      <c r="G369" s="293"/>
      <c r="H369" s="161"/>
      <c r="I369" s="293"/>
      <c r="J369" s="294"/>
    </row>
    <row r="370" spans="1:10" x14ac:dyDescent="0.25">
      <c r="A370" s="471" t="s">
        <v>47</v>
      </c>
      <c r="B370" s="471"/>
      <c r="C370" s="471"/>
      <c r="D370" s="471"/>
      <c r="E370" s="471"/>
      <c r="F370" s="469" t="s">
        <v>180</v>
      </c>
      <c r="G370" s="469"/>
      <c r="H370" s="467" t="s">
        <v>181</v>
      </c>
      <c r="I370" s="483"/>
      <c r="J370" s="98" t="s">
        <v>201</v>
      </c>
    </row>
    <row r="371" spans="1:10" x14ac:dyDescent="0.25">
      <c r="A371" s="22">
        <v>20</v>
      </c>
      <c r="B371" s="35" t="s">
        <v>47</v>
      </c>
      <c r="C371" s="23"/>
      <c r="D371" s="23"/>
      <c r="E371" s="23"/>
      <c r="F371" s="24"/>
      <c r="G371" s="24"/>
      <c r="H371" s="24"/>
      <c r="I371" s="24"/>
      <c r="J371" s="111"/>
    </row>
    <row r="372" spans="1:10" x14ac:dyDescent="0.25">
      <c r="A372" s="2"/>
      <c r="B372" s="68" t="s">
        <v>118</v>
      </c>
      <c r="C372" s="53"/>
      <c r="D372" s="43"/>
      <c r="E372" s="43"/>
      <c r="F372" s="44"/>
      <c r="G372" s="44"/>
      <c r="H372" s="44"/>
      <c r="I372" s="44"/>
      <c r="J372" s="107"/>
    </row>
    <row r="373" spans="1:10" ht="38.25" x14ac:dyDescent="0.25">
      <c r="A373" s="2"/>
      <c r="B373" s="69" t="s">
        <v>199</v>
      </c>
      <c r="C373" s="70"/>
      <c r="D373" s="46"/>
      <c r="E373" s="71"/>
      <c r="F373" s="47"/>
      <c r="G373" s="47"/>
      <c r="H373" s="47"/>
      <c r="I373" s="47"/>
      <c r="J373" s="207"/>
    </row>
    <row r="374" spans="1:10" ht="25.5" x14ac:dyDescent="0.25">
      <c r="A374" s="2"/>
      <c r="B374" s="72" t="s">
        <v>38</v>
      </c>
      <c r="C374" s="295" t="s">
        <v>202</v>
      </c>
      <c r="D374" s="46"/>
      <c r="E374" s="46" t="s">
        <v>12</v>
      </c>
      <c r="F374" s="47">
        <f>$F$8</f>
        <v>743</v>
      </c>
      <c r="G374" s="47">
        <f>D374*F374</f>
        <v>0</v>
      </c>
      <c r="H374" s="47">
        <f>$H$8</f>
        <v>966</v>
      </c>
      <c r="I374" s="47">
        <f>D374*H374</f>
        <v>0</v>
      </c>
      <c r="J374" s="165" t="s">
        <v>170</v>
      </c>
    </row>
    <row r="375" spans="1:10" ht="114.75" x14ac:dyDescent="0.25">
      <c r="A375" s="2"/>
      <c r="B375" s="72" t="s">
        <v>39</v>
      </c>
      <c r="C375" s="46" t="s">
        <v>40</v>
      </c>
      <c r="D375" s="46"/>
      <c r="E375" s="46" t="s">
        <v>75</v>
      </c>
      <c r="F375" s="47">
        <v>10</v>
      </c>
      <c r="G375" s="47">
        <f t="shared" ref="G375:G411" si="72">D375*F375</f>
        <v>0</v>
      </c>
      <c r="H375" s="47">
        <v>10</v>
      </c>
      <c r="I375" s="47">
        <f t="shared" ref="I375:I391" si="73">D375*H375</f>
        <v>0</v>
      </c>
      <c r="J375" s="165" t="s">
        <v>168</v>
      </c>
    </row>
    <row r="376" spans="1:10" ht="25.5" x14ac:dyDescent="0.25">
      <c r="A376" s="2"/>
      <c r="B376" s="72" t="s">
        <v>41</v>
      </c>
      <c r="C376" s="46" t="s">
        <v>42</v>
      </c>
      <c r="D376" s="46"/>
      <c r="E376" s="73"/>
      <c r="F376" s="47"/>
      <c r="G376" s="47"/>
      <c r="H376" s="47"/>
      <c r="I376" s="47"/>
      <c r="J376" s="165" t="s">
        <v>351</v>
      </c>
    </row>
    <row r="377" spans="1:10" ht="51" x14ac:dyDescent="0.25">
      <c r="A377" s="2"/>
      <c r="B377" s="74" t="s">
        <v>372</v>
      </c>
      <c r="C377" s="46" t="s">
        <v>42</v>
      </c>
      <c r="D377" s="46"/>
      <c r="E377" s="46" t="s">
        <v>58</v>
      </c>
      <c r="F377" s="47">
        <v>20</v>
      </c>
      <c r="G377" s="47">
        <f>IF(D377=0,0,IF(D377*F377&lt;400,400,D377*F377))</f>
        <v>0</v>
      </c>
      <c r="H377" s="47">
        <v>20</v>
      </c>
      <c r="I377" s="47">
        <f>IF(D377=0,0,IF(D377*H377&lt;400,400,D377*H377))</f>
        <v>0</v>
      </c>
      <c r="J377" s="165" t="s">
        <v>381</v>
      </c>
    </row>
    <row r="378" spans="1:10" s="155" customFormat="1" x14ac:dyDescent="0.25">
      <c r="A378" s="296"/>
      <c r="B378" s="74" t="s">
        <v>208</v>
      </c>
      <c r="C378" s="46" t="s">
        <v>105</v>
      </c>
      <c r="D378" s="46"/>
      <c r="E378" s="46" t="s">
        <v>61</v>
      </c>
      <c r="F378" s="47">
        <v>280</v>
      </c>
      <c r="G378" s="47">
        <f>D378*F378</f>
        <v>0</v>
      </c>
      <c r="H378" s="47">
        <v>280</v>
      </c>
      <c r="I378" s="47">
        <f t="shared" si="73"/>
        <v>0</v>
      </c>
      <c r="J378" s="165"/>
    </row>
    <row r="379" spans="1:10" ht="51" x14ac:dyDescent="0.25">
      <c r="A379" s="2"/>
      <c r="B379" s="57" t="s">
        <v>342</v>
      </c>
      <c r="C379" s="46" t="s">
        <v>104</v>
      </c>
      <c r="D379" s="46"/>
      <c r="E379" s="46" t="s">
        <v>61</v>
      </c>
      <c r="F379" s="47">
        <v>10</v>
      </c>
      <c r="G379" s="47">
        <f>D379*F379</f>
        <v>0</v>
      </c>
      <c r="H379" s="47">
        <v>10</v>
      </c>
      <c r="I379" s="47">
        <f>D379*H379</f>
        <v>0</v>
      </c>
      <c r="J379" s="297" t="s">
        <v>341</v>
      </c>
    </row>
    <row r="380" spans="1:10" ht="38.25" x14ac:dyDescent="0.25">
      <c r="A380" s="2"/>
      <c r="B380" s="57" t="s">
        <v>154</v>
      </c>
      <c r="C380" s="46" t="s">
        <v>203</v>
      </c>
      <c r="D380" s="298"/>
      <c r="E380" s="46" t="s">
        <v>407</v>
      </c>
      <c r="F380" s="47"/>
      <c r="G380" s="47">
        <f>F380</f>
        <v>0</v>
      </c>
      <c r="H380" s="47"/>
      <c r="I380" s="47">
        <f>H380</f>
        <v>0</v>
      </c>
      <c r="J380" s="165" t="s">
        <v>397</v>
      </c>
    </row>
    <row r="381" spans="1:10" ht="51" x14ac:dyDescent="0.25">
      <c r="A381" s="2"/>
      <c r="B381" s="57" t="s">
        <v>155</v>
      </c>
      <c r="C381" s="46" t="s">
        <v>203</v>
      </c>
      <c r="D381" s="298"/>
      <c r="E381" s="46" t="s">
        <v>407</v>
      </c>
      <c r="F381" s="47"/>
      <c r="G381" s="47">
        <f>F381</f>
        <v>0</v>
      </c>
      <c r="H381" s="47"/>
      <c r="I381" s="47">
        <f t="shared" ref="I381:I382" si="74">H381</f>
        <v>0</v>
      </c>
      <c r="J381" s="165" t="s">
        <v>398</v>
      </c>
    </row>
    <row r="382" spans="1:10" x14ac:dyDescent="0.25">
      <c r="A382" s="296"/>
      <c r="B382" s="57" t="s">
        <v>205</v>
      </c>
      <c r="C382" s="46" t="s">
        <v>48</v>
      </c>
      <c r="D382" s="298"/>
      <c r="E382" s="46" t="s">
        <v>407</v>
      </c>
      <c r="F382" s="47"/>
      <c r="G382" s="47">
        <f>F382</f>
        <v>0</v>
      </c>
      <c r="H382" s="47"/>
      <c r="I382" s="47">
        <f t="shared" si="74"/>
        <v>0</v>
      </c>
      <c r="J382" s="165"/>
    </row>
    <row r="383" spans="1:10" x14ac:dyDescent="0.25">
      <c r="A383" s="2"/>
      <c r="B383" s="57" t="s">
        <v>156</v>
      </c>
      <c r="C383" s="51"/>
      <c r="D383" s="46"/>
      <c r="E383" s="51"/>
      <c r="F383" s="67"/>
      <c r="G383" s="47"/>
      <c r="H383" s="67"/>
      <c r="I383" s="47"/>
      <c r="J383" s="100"/>
    </row>
    <row r="384" spans="1:10" ht="63.75" x14ac:dyDescent="0.25">
      <c r="A384" s="2"/>
      <c r="B384" s="72" t="s">
        <v>157</v>
      </c>
      <c r="C384" s="46" t="s">
        <v>203</v>
      </c>
      <c r="D384" s="298"/>
      <c r="E384" s="46" t="s">
        <v>407</v>
      </c>
      <c r="F384" s="47"/>
      <c r="G384" s="47">
        <f>F384</f>
        <v>0</v>
      </c>
      <c r="H384" s="47"/>
      <c r="I384" s="47">
        <f>H384</f>
        <v>0</v>
      </c>
      <c r="J384" s="165" t="s">
        <v>166</v>
      </c>
    </row>
    <row r="385" spans="1:10" x14ac:dyDescent="0.25">
      <c r="A385" s="2"/>
      <c r="B385" s="72" t="s">
        <v>158</v>
      </c>
      <c r="C385" s="46" t="s">
        <v>203</v>
      </c>
      <c r="D385" s="298"/>
      <c r="E385" s="46" t="s">
        <v>407</v>
      </c>
      <c r="F385" s="47"/>
      <c r="G385" s="47">
        <f>F385</f>
        <v>0</v>
      </c>
      <c r="H385" s="47"/>
      <c r="I385" s="47">
        <f>H385</f>
        <v>0</v>
      </c>
      <c r="J385" s="165" t="s">
        <v>167</v>
      </c>
    </row>
    <row r="386" spans="1:10" ht="25.5" customHeight="1" x14ac:dyDescent="0.25">
      <c r="A386" s="2"/>
      <c r="B386" s="74" t="s">
        <v>159</v>
      </c>
      <c r="C386" s="46" t="s">
        <v>49</v>
      </c>
      <c r="D386" s="172"/>
      <c r="E386" s="46" t="s">
        <v>60</v>
      </c>
      <c r="F386" s="47">
        <v>720</v>
      </c>
      <c r="G386" s="47">
        <f t="shared" si="72"/>
        <v>0</v>
      </c>
      <c r="H386" s="47">
        <v>720</v>
      </c>
      <c r="I386" s="47">
        <f t="shared" si="73"/>
        <v>0</v>
      </c>
      <c r="J386" s="475" t="s">
        <v>409</v>
      </c>
    </row>
    <row r="387" spans="1:10" x14ac:dyDescent="0.25">
      <c r="A387" s="2"/>
      <c r="B387" s="72" t="s">
        <v>50</v>
      </c>
      <c r="C387" s="46" t="s">
        <v>49</v>
      </c>
      <c r="D387" s="172"/>
      <c r="E387" s="46" t="s">
        <v>152</v>
      </c>
      <c r="F387" s="47">
        <v>450</v>
      </c>
      <c r="G387" s="47">
        <f t="shared" si="72"/>
        <v>0</v>
      </c>
      <c r="H387" s="47">
        <v>450</v>
      </c>
      <c r="I387" s="47">
        <f t="shared" si="73"/>
        <v>0</v>
      </c>
      <c r="J387" s="476"/>
    </row>
    <row r="388" spans="1:10" s="155" customFormat="1" x14ac:dyDescent="0.25">
      <c r="A388" s="296"/>
      <c r="B388" s="72" t="s">
        <v>317</v>
      </c>
      <c r="C388" s="46"/>
      <c r="D388" s="298"/>
      <c r="E388" s="64" t="s">
        <v>407</v>
      </c>
      <c r="F388" s="47"/>
      <c r="G388" s="47">
        <f>F388</f>
        <v>0</v>
      </c>
      <c r="H388" s="47"/>
      <c r="I388" s="47">
        <f>H388</f>
        <v>0</v>
      </c>
      <c r="J388" s="476"/>
    </row>
    <row r="389" spans="1:10" s="155" customFormat="1" x14ac:dyDescent="0.25">
      <c r="A389" s="296"/>
      <c r="B389" s="72" t="s">
        <v>318</v>
      </c>
      <c r="C389" s="46"/>
      <c r="D389" s="172"/>
      <c r="E389" s="46" t="s">
        <v>69</v>
      </c>
      <c r="F389" s="47">
        <v>0.5</v>
      </c>
      <c r="G389" s="47">
        <f t="shared" si="72"/>
        <v>0</v>
      </c>
      <c r="H389" s="47">
        <v>0.5</v>
      </c>
      <c r="I389" s="47">
        <f t="shared" si="73"/>
        <v>0</v>
      </c>
      <c r="J389" s="476"/>
    </row>
    <row r="390" spans="1:10" x14ac:dyDescent="0.25">
      <c r="A390" s="2"/>
      <c r="B390" s="72" t="s">
        <v>51</v>
      </c>
      <c r="C390" s="46" t="s">
        <v>49</v>
      </c>
      <c r="D390" s="46"/>
      <c r="E390" s="46" t="s">
        <v>153</v>
      </c>
      <c r="F390" s="47">
        <v>180</v>
      </c>
      <c r="G390" s="47">
        <f t="shared" si="72"/>
        <v>0</v>
      </c>
      <c r="H390" s="47">
        <v>180</v>
      </c>
      <c r="I390" s="47">
        <f t="shared" si="73"/>
        <v>0</v>
      </c>
      <c r="J390" s="476"/>
    </row>
    <row r="391" spans="1:10" x14ac:dyDescent="0.25">
      <c r="A391" s="2"/>
      <c r="B391" s="72" t="s">
        <v>177</v>
      </c>
      <c r="C391" s="46" t="s">
        <v>49</v>
      </c>
      <c r="D391" s="46"/>
      <c r="E391" s="46" t="s">
        <v>106</v>
      </c>
      <c r="F391" s="47">
        <v>85</v>
      </c>
      <c r="G391" s="47">
        <f t="shared" si="72"/>
        <v>0</v>
      </c>
      <c r="H391" s="47">
        <v>85</v>
      </c>
      <c r="I391" s="47">
        <f t="shared" si="73"/>
        <v>0</v>
      </c>
      <c r="J391" s="477"/>
    </row>
    <row r="392" spans="1:10" x14ac:dyDescent="0.25">
      <c r="A392" s="2"/>
      <c r="B392" s="62" t="s">
        <v>319</v>
      </c>
      <c r="C392" s="46" t="s">
        <v>63</v>
      </c>
      <c r="D392" s="299"/>
      <c r="E392" s="64" t="s">
        <v>407</v>
      </c>
      <c r="F392" s="47"/>
      <c r="G392" s="47">
        <f>F392</f>
        <v>0</v>
      </c>
      <c r="H392" s="47"/>
      <c r="I392" s="47">
        <f>H392</f>
        <v>0</v>
      </c>
      <c r="J392" s="165"/>
    </row>
    <row r="393" spans="1:10" ht="25.5" x14ac:dyDescent="0.25">
      <c r="A393" s="2"/>
      <c r="B393" s="62" t="s">
        <v>206</v>
      </c>
      <c r="C393" s="46" t="s">
        <v>64</v>
      </c>
      <c r="D393" s="299"/>
      <c r="E393" s="64" t="s">
        <v>407</v>
      </c>
      <c r="F393" s="47"/>
      <c r="G393" s="47">
        <f t="shared" ref="G393:G395" si="75">F393</f>
        <v>0</v>
      </c>
      <c r="H393" s="47"/>
      <c r="I393" s="47">
        <f t="shared" ref="I393:I395" si="76">H393</f>
        <v>0</v>
      </c>
      <c r="J393" s="165"/>
    </row>
    <row r="394" spans="1:10" ht="38.25" x14ac:dyDescent="0.25">
      <c r="A394" s="2"/>
      <c r="B394" s="62" t="s">
        <v>207</v>
      </c>
      <c r="C394" s="46" t="s">
        <v>65</v>
      </c>
      <c r="D394" s="299"/>
      <c r="E394" s="64" t="s">
        <v>407</v>
      </c>
      <c r="F394" s="47"/>
      <c r="G394" s="47">
        <f t="shared" si="75"/>
        <v>0</v>
      </c>
      <c r="H394" s="47"/>
      <c r="I394" s="47">
        <f t="shared" si="76"/>
        <v>0</v>
      </c>
      <c r="J394" s="165"/>
    </row>
    <row r="395" spans="1:10" ht="25.5" x14ac:dyDescent="0.25">
      <c r="A395" s="2"/>
      <c r="B395" s="62" t="s">
        <v>352</v>
      </c>
      <c r="C395" s="46" t="s">
        <v>48</v>
      </c>
      <c r="D395" s="299"/>
      <c r="E395" s="64" t="s">
        <v>407</v>
      </c>
      <c r="F395" s="47"/>
      <c r="G395" s="47">
        <f t="shared" si="75"/>
        <v>0</v>
      </c>
      <c r="H395" s="47"/>
      <c r="I395" s="47">
        <f t="shared" si="76"/>
        <v>0</v>
      </c>
      <c r="J395" s="165" t="s">
        <v>373</v>
      </c>
    </row>
    <row r="396" spans="1:10" x14ac:dyDescent="0.25">
      <c r="A396" s="2"/>
      <c r="B396" s="62"/>
      <c r="C396" s="46"/>
      <c r="D396" s="46"/>
      <c r="E396" s="64"/>
      <c r="F396" s="47"/>
      <c r="G396" s="47"/>
      <c r="H396" s="47"/>
      <c r="I396" s="47"/>
      <c r="J396" s="165"/>
    </row>
    <row r="397" spans="1:10" x14ac:dyDescent="0.25">
      <c r="A397" s="2"/>
      <c r="B397" s="75" t="s">
        <v>200</v>
      </c>
      <c r="C397" s="70"/>
      <c r="D397" s="46"/>
      <c r="E397" s="71"/>
      <c r="F397" s="47"/>
      <c r="G397" s="47"/>
      <c r="H397" s="47"/>
      <c r="I397" s="47"/>
      <c r="J397" s="207"/>
    </row>
    <row r="398" spans="1:10" ht="25.5" x14ac:dyDescent="0.25">
      <c r="A398" s="2"/>
      <c r="B398" s="51" t="s">
        <v>38</v>
      </c>
      <c r="C398" s="295" t="s">
        <v>202</v>
      </c>
      <c r="D398" s="46"/>
      <c r="E398" s="46" t="s">
        <v>12</v>
      </c>
      <c r="F398" s="47">
        <f>$F$8</f>
        <v>743</v>
      </c>
      <c r="G398" s="47">
        <f t="shared" si="72"/>
        <v>0</v>
      </c>
      <c r="H398" s="47"/>
      <c r="I398" s="47"/>
      <c r="J398" s="100"/>
    </row>
    <row r="399" spans="1:10" x14ac:dyDescent="0.25">
      <c r="A399" s="80"/>
      <c r="B399" s="45" t="s">
        <v>39</v>
      </c>
      <c r="C399" s="46" t="s">
        <v>40</v>
      </c>
      <c r="D399" s="46"/>
      <c r="E399" s="46" t="s">
        <v>75</v>
      </c>
      <c r="F399" s="47">
        <v>10</v>
      </c>
      <c r="G399" s="47">
        <f t="shared" si="72"/>
        <v>0</v>
      </c>
      <c r="H399" s="47"/>
      <c r="I399" s="47"/>
      <c r="J399" s="100"/>
    </row>
    <row r="400" spans="1:10" x14ac:dyDescent="0.25">
      <c r="A400" s="80"/>
      <c r="B400" s="51" t="s">
        <v>41</v>
      </c>
      <c r="C400" s="46"/>
      <c r="D400" s="46"/>
      <c r="E400" s="73"/>
      <c r="F400" s="47"/>
      <c r="G400" s="47"/>
      <c r="H400" s="47"/>
      <c r="I400" s="47"/>
      <c r="J400" s="207"/>
    </row>
    <row r="401" spans="1:10" ht="38.25" x14ac:dyDescent="0.25">
      <c r="A401" s="80"/>
      <c r="B401" s="300" t="s">
        <v>110</v>
      </c>
      <c r="C401" s="46" t="s">
        <v>42</v>
      </c>
      <c r="D401" s="46"/>
      <c r="E401" s="46" t="s">
        <v>58</v>
      </c>
      <c r="F401" s="47">
        <v>20</v>
      </c>
      <c r="G401" s="47">
        <f>IF(D401=0,0,IF(D401*F401&lt;400,400,D401*F401))</f>
        <v>0</v>
      </c>
      <c r="H401" s="47"/>
      <c r="I401" s="47"/>
      <c r="J401" s="165" t="s">
        <v>381</v>
      </c>
    </row>
    <row r="402" spans="1:10" x14ac:dyDescent="0.25">
      <c r="A402" s="80"/>
      <c r="B402" s="57" t="s">
        <v>52</v>
      </c>
      <c r="C402" s="46" t="s">
        <v>104</v>
      </c>
      <c r="D402" s="46"/>
      <c r="E402" s="46" t="s">
        <v>61</v>
      </c>
      <c r="F402" s="47">
        <v>10</v>
      </c>
      <c r="G402" s="47">
        <f>D402*F402</f>
        <v>0</v>
      </c>
      <c r="H402" s="47"/>
      <c r="I402" s="47"/>
      <c r="J402" s="207"/>
    </row>
    <row r="403" spans="1:10" x14ac:dyDescent="0.25">
      <c r="A403" s="80"/>
      <c r="B403" s="51" t="s">
        <v>154</v>
      </c>
      <c r="C403" s="46" t="s">
        <v>203</v>
      </c>
      <c r="D403" s="298"/>
      <c r="E403" s="46" t="s">
        <v>407</v>
      </c>
      <c r="F403" s="47"/>
      <c r="G403" s="47">
        <f>F403</f>
        <v>0</v>
      </c>
      <c r="H403" s="47"/>
      <c r="I403" s="47"/>
      <c r="J403" s="100"/>
    </row>
    <row r="404" spans="1:10" x14ac:dyDescent="0.25">
      <c r="A404" s="80"/>
      <c r="B404" s="51" t="s">
        <v>160</v>
      </c>
      <c r="C404" s="46" t="s">
        <v>203</v>
      </c>
      <c r="D404" s="298"/>
      <c r="E404" s="46" t="s">
        <v>407</v>
      </c>
      <c r="F404" s="47"/>
      <c r="G404" s="47">
        <f>F404</f>
        <v>0</v>
      </c>
      <c r="H404" s="47"/>
      <c r="I404" s="47"/>
      <c r="J404" s="165"/>
    </row>
    <row r="405" spans="1:10" x14ac:dyDescent="0.25">
      <c r="A405" s="80"/>
      <c r="B405" s="57" t="s">
        <v>156</v>
      </c>
      <c r="C405" s="51"/>
      <c r="D405" s="46"/>
      <c r="E405" s="51"/>
      <c r="F405" s="67"/>
      <c r="G405" s="47"/>
      <c r="H405" s="67"/>
      <c r="I405" s="47"/>
      <c r="J405" s="207"/>
    </row>
    <row r="406" spans="1:10" ht="25.5" x14ac:dyDescent="0.25">
      <c r="A406" s="80"/>
      <c r="B406" s="72" t="s">
        <v>157</v>
      </c>
      <c r="C406" s="46" t="s">
        <v>203</v>
      </c>
      <c r="D406" s="298"/>
      <c r="E406" s="46" t="s">
        <v>407</v>
      </c>
      <c r="F406" s="47"/>
      <c r="G406" s="47">
        <f>F406</f>
        <v>0</v>
      </c>
      <c r="H406" s="47"/>
      <c r="I406" s="47"/>
      <c r="J406" s="165" t="s">
        <v>171</v>
      </c>
    </row>
    <row r="407" spans="1:10" x14ac:dyDescent="0.25">
      <c r="A407" s="80"/>
      <c r="B407" s="72" t="s">
        <v>158</v>
      </c>
      <c r="C407" s="46" t="s">
        <v>203</v>
      </c>
      <c r="D407" s="298"/>
      <c r="E407" s="46" t="s">
        <v>407</v>
      </c>
      <c r="F407" s="47"/>
      <c r="G407" s="47">
        <f t="shared" ref="G407:G408" si="77">F407</f>
        <v>0</v>
      </c>
      <c r="H407" s="47"/>
      <c r="I407" s="47"/>
      <c r="J407" s="165" t="s">
        <v>179</v>
      </c>
    </row>
    <row r="408" spans="1:10" ht="25.5" customHeight="1" x14ac:dyDescent="0.25">
      <c r="A408" s="80"/>
      <c r="B408" s="300" t="s">
        <v>383</v>
      </c>
      <c r="C408" s="46" t="s">
        <v>49</v>
      </c>
      <c r="D408" s="298"/>
      <c r="E408" s="46" t="s">
        <v>407</v>
      </c>
      <c r="F408" s="47"/>
      <c r="G408" s="47">
        <f t="shared" si="77"/>
        <v>0</v>
      </c>
      <c r="H408" s="47"/>
      <c r="I408" s="47"/>
      <c r="J408" s="475" t="s">
        <v>408</v>
      </c>
    </row>
    <row r="409" spans="1:10" x14ac:dyDescent="0.25">
      <c r="A409" s="80"/>
      <c r="B409" s="72" t="s">
        <v>50</v>
      </c>
      <c r="C409" s="46"/>
      <c r="D409" s="172"/>
      <c r="E409" s="46"/>
      <c r="F409" s="47"/>
      <c r="G409" s="47"/>
      <c r="H409" s="47"/>
      <c r="I409" s="47"/>
      <c r="J409" s="476"/>
    </row>
    <row r="410" spans="1:10" x14ac:dyDescent="0.25">
      <c r="A410" s="80"/>
      <c r="B410" s="72" t="s">
        <v>51</v>
      </c>
      <c r="C410" s="46" t="s">
        <v>49</v>
      </c>
      <c r="D410" s="46"/>
      <c r="E410" s="46" t="s">
        <v>153</v>
      </c>
      <c r="F410" s="47">
        <v>180</v>
      </c>
      <c r="G410" s="47">
        <f t="shared" si="72"/>
        <v>0</v>
      </c>
      <c r="H410" s="47"/>
      <c r="I410" s="47"/>
      <c r="J410" s="476"/>
    </row>
    <row r="411" spans="1:10" x14ac:dyDescent="0.25">
      <c r="A411" s="80"/>
      <c r="B411" s="301" t="s">
        <v>177</v>
      </c>
      <c r="C411" s="49" t="s">
        <v>49</v>
      </c>
      <c r="D411" s="49"/>
      <c r="E411" s="49" t="s">
        <v>106</v>
      </c>
      <c r="F411" s="50">
        <v>85</v>
      </c>
      <c r="G411" s="47">
        <f t="shared" si="72"/>
        <v>0</v>
      </c>
      <c r="H411" s="50"/>
      <c r="I411" s="47"/>
      <c r="J411" s="490"/>
    </row>
    <row r="412" spans="1:10" x14ac:dyDescent="0.25">
      <c r="A412" s="22">
        <v>21</v>
      </c>
      <c r="B412" s="36" t="s">
        <v>53</v>
      </c>
      <c r="C412" s="23"/>
      <c r="D412" s="28"/>
      <c r="E412" s="37"/>
      <c r="F412" s="25"/>
      <c r="G412" s="38">
        <f>SUM(G374:G411)</f>
        <v>0</v>
      </c>
      <c r="H412" s="38"/>
      <c r="I412" s="38">
        <f>SUM(I374:I411)</f>
        <v>0</v>
      </c>
      <c r="J412" s="111"/>
    </row>
    <row r="413" spans="1:10" x14ac:dyDescent="0.25">
      <c r="B413" s="12"/>
      <c r="E413" s="15"/>
      <c r="F413" s="161"/>
      <c r="G413" s="161"/>
      <c r="H413" s="161"/>
      <c r="I413" s="161"/>
    </row>
    <row r="414" spans="1:10" x14ac:dyDescent="0.25">
      <c r="C414" s="15"/>
      <c r="D414" s="15"/>
      <c r="E414" s="15"/>
      <c r="F414" s="161"/>
      <c r="G414" s="161"/>
      <c r="H414" s="161"/>
      <c r="I414" s="161"/>
    </row>
    <row r="415" spans="1:10" ht="63.75" customHeight="1" x14ac:dyDescent="0.25">
      <c r="A415" s="467" t="s">
        <v>54</v>
      </c>
      <c r="B415" s="483"/>
      <c r="C415" s="146" t="s">
        <v>316</v>
      </c>
      <c r="D415" s="469" t="s">
        <v>315</v>
      </c>
      <c r="E415" s="469"/>
      <c r="F415" s="39"/>
      <c r="G415" s="40"/>
      <c r="H415" s="39"/>
      <c r="I415" s="40"/>
    </row>
    <row r="416" spans="1:10" x14ac:dyDescent="0.25">
      <c r="A416" s="281" t="s">
        <v>73</v>
      </c>
      <c r="C416" s="302">
        <f>G318</f>
        <v>2.4000000000000002E-3</v>
      </c>
      <c r="D416" s="491">
        <f>I318</f>
        <v>2.4000000000000002E-3</v>
      </c>
      <c r="E416" s="492"/>
      <c r="F416" s="39"/>
      <c r="H416" s="39"/>
    </row>
    <row r="417" spans="1:10" x14ac:dyDescent="0.25">
      <c r="A417" s="281" t="s">
        <v>74</v>
      </c>
      <c r="C417" s="302">
        <f>G368</f>
        <v>0</v>
      </c>
      <c r="D417" s="484">
        <f>I368</f>
        <v>0</v>
      </c>
      <c r="E417" s="485"/>
      <c r="F417" s="39"/>
      <c r="H417" s="39"/>
    </row>
    <row r="418" spans="1:10" x14ac:dyDescent="0.25">
      <c r="A418" s="281" t="s">
        <v>55</v>
      </c>
      <c r="C418" s="302">
        <f>G412</f>
        <v>0</v>
      </c>
      <c r="D418" s="484">
        <f>I412</f>
        <v>0</v>
      </c>
      <c r="E418" s="485"/>
      <c r="F418" s="39"/>
      <c r="H418" s="39"/>
    </row>
    <row r="419" spans="1:10" x14ac:dyDescent="0.25">
      <c r="A419" s="281" t="s">
        <v>56</v>
      </c>
      <c r="C419" s="1">
        <f>SUM(C416:C418)</f>
        <v>2.4000000000000002E-3</v>
      </c>
      <c r="D419" s="484">
        <f>SUM(D416:D418)</f>
        <v>2.4000000000000002E-3</v>
      </c>
      <c r="E419" s="485"/>
      <c r="F419" s="40"/>
      <c r="H419" s="40"/>
    </row>
    <row r="420" spans="1:10" x14ac:dyDescent="0.25">
      <c r="A420" s="281" t="s">
        <v>72</v>
      </c>
      <c r="C420" s="21">
        <f>C419*0.06</f>
        <v>1.44E-4</v>
      </c>
      <c r="D420" s="486">
        <f>D419*0.06</f>
        <v>1.44E-4</v>
      </c>
      <c r="E420" s="487"/>
      <c r="F420" s="8"/>
      <c r="H420" s="8"/>
      <c r="J420" s="303"/>
    </row>
    <row r="421" spans="1:10" x14ac:dyDescent="0.25">
      <c r="A421" s="304" t="s">
        <v>57</v>
      </c>
      <c r="B421" s="28"/>
      <c r="C421" s="32">
        <f>C419+C420</f>
        <v>2.5440000000000003E-3</v>
      </c>
      <c r="D421" s="488">
        <f>D419+D420</f>
        <v>2.5440000000000003E-3</v>
      </c>
      <c r="E421" s="489"/>
      <c r="F421" s="8"/>
      <c r="H421" s="8"/>
      <c r="J421" s="305"/>
    </row>
    <row r="422" spans="1:10" x14ac:dyDescent="0.25">
      <c r="F422" s="8"/>
      <c r="H422" s="8"/>
    </row>
    <row r="423" spans="1:10" x14ac:dyDescent="0.25">
      <c r="F423" s="8"/>
      <c r="H423" s="8"/>
    </row>
    <row r="424" spans="1:10" x14ac:dyDescent="0.25">
      <c r="F424" s="8"/>
      <c r="H424" s="8"/>
    </row>
    <row r="425" spans="1:10" x14ac:dyDescent="0.25">
      <c r="F425" s="8"/>
      <c r="H425" s="8"/>
    </row>
    <row r="426" spans="1:10" x14ac:dyDescent="0.25">
      <c r="F426" s="8"/>
      <c r="H426" s="8"/>
    </row>
    <row r="427" spans="1:10" x14ac:dyDescent="0.25">
      <c r="F427" s="8"/>
      <c r="H427" s="8"/>
    </row>
    <row r="428" spans="1:10" x14ac:dyDescent="0.25">
      <c r="F428" s="8"/>
      <c r="H428" s="8"/>
    </row>
    <row r="429" spans="1:10" x14ac:dyDescent="0.25">
      <c r="F429" s="8"/>
      <c r="H429" s="8"/>
    </row>
    <row r="430" spans="1:10" x14ac:dyDescent="0.25">
      <c r="F430" s="8"/>
      <c r="H430" s="8"/>
    </row>
    <row r="431" spans="1:10" x14ac:dyDescent="0.25">
      <c r="F431" s="8"/>
      <c r="H431" s="8"/>
    </row>
    <row r="432" spans="1:10" x14ac:dyDescent="0.25">
      <c r="F432" s="8"/>
      <c r="H432" s="8"/>
    </row>
    <row r="433" spans="6:8" x14ac:dyDescent="0.25">
      <c r="F433" s="8"/>
      <c r="H433" s="8"/>
    </row>
    <row r="434" spans="6:8" x14ac:dyDescent="0.25">
      <c r="F434" s="8"/>
      <c r="H434" s="8"/>
    </row>
    <row r="435" spans="6:8" x14ac:dyDescent="0.25">
      <c r="F435" s="8"/>
      <c r="H435" s="8"/>
    </row>
    <row r="436" spans="6:8" x14ac:dyDescent="0.25">
      <c r="F436" s="8"/>
      <c r="H436" s="8"/>
    </row>
    <row r="437" spans="6:8" x14ac:dyDescent="0.25">
      <c r="F437" s="8"/>
      <c r="H437" s="8"/>
    </row>
    <row r="438" spans="6:8" x14ac:dyDescent="0.25">
      <c r="F438" s="8"/>
      <c r="H438" s="8"/>
    </row>
    <row r="439" spans="6:8" x14ac:dyDescent="0.25">
      <c r="F439" s="8"/>
      <c r="H439" s="8"/>
    </row>
    <row r="440" spans="6:8" x14ac:dyDescent="0.25">
      <c r="F440" s="8"/>
      <c r="H440" s="8"/>
    </row>
    <row r="441" spans="6:8" x14ac:dyDescent="0.25">
      <c r="F441" s="8"/>
      <c r="H441" s="8"/>
    </row>
    <row r="442" spans="6:8" x14ac:dyDescent="0.25">
      <c r="F442" s="8"/>
      <c r="H442" s="8"/>
    </row>
    <row r="443" spans="6:8" x14ac:dyDescent="0.25">
      <c r="F443" s="8"/>
      <c r="H443" s="8"/>
    </row>
    <row r="444" spans="6:8" x14ac:dyDescent="0.25">
      <c r="F444" s="8"/>
      <c r="H444" s="8"/>
    </row>
    <row r="445" spans="6:8" x14ac:dyDescent="0.25">
      <c r="F445" s="8"/>
      <c r="H445" s="8"/>
    </row>
    <row r="446" spans="6:8" x14ac:dyDescent="0.25">
      <c r="F446" s="8"/>
      <c r="H446" s="8"/>
    </row>
    <row r="447" spans="6:8" x14ac:dyDescent="0.25">
      <c r="F447" s="8"/>
      <c r="H447" s="8"/>
    </row>
    <row r="448" spans="6:8" x14ac:dyDescent="0.25">
      <c r="F448" s="8"/>
      <c r="H448" s="8"/>
    </row>
    <row r="449" spans="6:8" x14ac:dyDescent="0.25">
      <c r="F449" s="8"/>
      <c r="H449" s="8"/>
    </row>
    <row r="450" spans="6:8" x14ac:dyDescent="0.25">
      <c r="F450" s="8"/>
      <c r="H450" s="8"/>
    </row>
    <row r="451" spans="6:8" x14ac:dyDescent="0.25">
      <c r="F451" s="8"/>
      <c r="H451" s="8"/>
    </row>
    <row r="452" spans="6:8" x14ac:dyDescent="0.25">
      <c r="F452" s="8"/>
      <c r="H452" s="8"/>
    </row>
    <row r="453" spans="6:8" x14ac:dyDescent="0.25">
      <c r="F453" s="8"/>
      <c r="H453" s="8"/>
    </row>
    <row r="454" spans="6:8" x14ac:dyDescent="0.25">
      <c r="F454" s="8"/>
      <c r="H454" s="8"/>
    </row>
    <row r="455" spans="6:8" x14ac:dyDescent="0.25">
      <c r="F455" s="8"/>
      <c r="H455" s="8"/>
    </row>
    <row r="456" spans="6:8" x14ac:dyDescent="0.25">
      <c r="F456" s="8"/>
      <c r="H456" s="8"/>
    </row>
    <row r="457" spans="6:8" x14ac:dyDescent="0.25">
      <c r="F457" s="8"/>
      <c r="H457" s="8"/>
    </row>
    <row r="458" spans="6:8" x14ac:dyDescent="0.25">
      <c r="F458" s="8"/>
      <c r="H458" s="8"/>
    </row>
    <row r="459" spans="6:8" x14ac:dyDescent="0.25">
      <c r="F459" s="8"/>
      <c r="H459" s="8"/>
    </row>
    <row r="460" spans="6:8" x14ac:dyDescent="0.25">
      <c r="F460" s="8"/>
      <c r="H460" s="8"/>
    </row>
    <row r="461" spans="6:8" x14ac:dyDescent="0.25">
      <c r="F461" s="8"/>
      <c r="H461" s="8"/>
    </row>
    <row r="462" spans="6:8" x14ac:dyDescent="0.25">
      <c r="F462" s="8"/>
      <c r="H462" s="8"/>
    </row>
    <row r="463" spans="6:8" x14ac:dyDescent="0.25">
      <c r="F463" s="8"/>
      <c r="H463" s="8"/>
    </row>
    <row r="464" spans="6:8" x14ac:dyDescent="0.25">
      <c r="F464" s="8"/>
      <c r="H464" s="8"/>
    </row>
    <row r="465" spans="6:8" x14ac:dyDescent="0.25">
      <c r="F465" s="8"/>
      <c r="H465" s="8"/>
    </row>
    <row r="466" spans="6:8" x14ac:dyDescent="0.25">
      <c r="F466" s="8"/>
      <c r="H466" s="8"/>
    </row>
    <row r="467" spans="6:8" x14ac:dyDescent="0.25">
      <c r="F467" s="8"/>
      <c r="H467" s="8"/>
    </row>
    <row r="468" spans="6:8" x14ac:dyDescent="0.25">
      <c r="F468" s="8"/>
      <c r="H468" s="8"/>
    </row>
    <row r="469" spans="6:8" x14ac:dyDescent="0.25">
      <c r="F469" s="8"/>
      <c r="H469" s="8"/>
    </row>
    <row r="470" spans="6:8" x14ac:dyDescent="0.25">
      <c r="F470" s="8"/>
      <c r="H470" s="8"/>
    </row>
    <row r="471" spans="6:8" x14ac:dyDescent="0.25">
      <c r="F471" s="8"/>
      <c r="H471" s="8"/>
    </row>
    <row r="472" spans="6:8" x14ac:dyDescent="0.25">
      <c r="F472" s="8"/>
      <c r="H472" s="8"/>
    </row>
    <row r="473" spans="6:8" x14ac:dyDescent="0.25">
      <c r="F473" s="8"/>
      <c r="H473" s="8"/>
    </row>
    <row r="474" spans="6:8" x14ac:dyDescent="0.25">
      <c r="F474" s="8"/>
      <c r="H474" s="8"/>
    </row>
    <row r="475" spans="6:8" x14ac:dyDescent="0.25">
      <c r="F475" s="8"/>
      <c r="H475" s="8"/>
    </row>
    <row r="476" spans="6:8" x14ac:dyDescent="0.25">
      <c r="F476" s="8"/>
      <c r="H476" s="8"/>
    </row>
    <row r="477" spans="6:8" x14ac:dyDescent="0.25">
      <c r="F477" s="8"/>
      <c r="H477" s="8"/>
    </row>
    <row r="478" spans="6:8" x14ac:dyDescent="0.25">
      <c r="F478" s="8"/>
      <c r="H478" s="8"/>
    </row>
    <row r="479" spans="6:8" x14ac:dyDescent="0.25">
      <c r="F479" s="8"/>
      <c r="H479" s="8"/>
    </row>
    <row r="480" spans="6:8" x14ac:dyDescent="0.25">
      <c r="F480" s="8"/>
      <c r="H480" s="8"/>
    </row>
    <row r="481" spans="6:8" x14ac:dyDescent="0.25">
      <c r="F481" s="8"/>
      <c r="H481" s="8"/>
    </row>
    <row r="482" spans="6:8" x14ac:dyDescent="0.25">
      <c r="F482" s="8"/>
      <c r="H482" s="8"/>
    </row>
    <row r="483" spans="6:8" x14ac:dyDescent="0.25">
      <c r="F483" s="8"/>
      <c r="H483" s="8"/>
    </row>
    <row r="484" spans="6:8" x14ac:dyDescent="0.25">
      <c r="F484" s="8"/>
      <c r="H484" s="8"/>
    </row>
    <row r="485" spans="6:8" x14ac:dyDescent="0.25">
      <c r="F485" s="8"/>
      <c r="H485" s="8"/>
    </row>
    <row r="486" spans="6:8" x14ac:dyDescent="0.25">
      <c r="F486" s="8"/>
      <c r="H486" s="8"/>
    </row>
    <row r="487" spans="6:8" x14ac:dyDescent="0.25">
      <c r="F487" s="8"/>
      <c r="H487" s="8"/>
    </row>
    <row r="488" spans="6:8" x14ac:dyDescent="0.25">
      <c r="F488" s="8"/>
      <c r="H488" s="8"/>
    </row>
    <row r="489" spans="6:8" x14ac:dyDescent="0.25">
      <c r="F489" s="8"/>
      <c r="H489" s="8"/>
    </row>
    <row r="490" spans="6:8" x14ac:dyDescent="0.25">
      <c r="F490" s="8"/>
      <c r="H490" s="8"/>
    </row>
    <row r="491" spans="6:8" x14ac:dyDescent="0.25">
      <c r="F491" s="8"/>
      <c r="H491" s="8"/>
    </row>
    <row r="492" spans="6:8" x14ac:dyDescent="0.25">
      <c r="F492" s="8"/>
      <c r="H492" s="8"/>
    </row>
    <row r="493" spans="6:8" x14ac:dyDescent="0.25">
      <c r="F493" s="8"/>
      <c r="H493" s="8"/>
    </row>
    <row r="494" spans="6:8" x14ac:dyDescent="0.25">
      <c r="F494" s="8"/>
      <c r="H494" s="8"/>
    </row>
    <row r="495" spans="6:8" x14ac:dyDescent="0.25">
      <c r="F495" s="8"/>
      <c r="H495" s="8"/>
    </row>
    <row r="496" spans="6:8" x14ac:dyDescent="0.25">
      <c r="F496" s="8"/>
      <c r="H496" s="8"/>
    </row>
    <row r="497" spans="6:8" x14ac:dyDescent="0.25">
      <c r="F497" s="8"/>
      <c r="H497" s="8"/>
    </row>
    <row r="498" spans="6:8" x14ac:dyDescent="0.25">
      <c r="F498" s="8"/>
      <c r="H498" s="8"/>
    </row>
    <row r="499" spans="6:8" x14ac:dyDescent="0.25">
      <c r="F499" s="8"/>
      <c r="H499" s="8"/>
    </row>
    <row r="500" spans="6:8" x14ac:dyDescent="0.25">
      <c r="F500" s="8"/>
      <c r="H500" s="8"/>
    </row>
    <row r="501" spans="6:8" x14ac:dyDescent="0.25">
      <c r="F501" s="8"/>
      <c r="H501" s="8"/>
    </row>
    <row r="502" spans="6:8" x14ac:dyDescent="0.25">
      <c r="F502" s="8"/>
      <c r="H502" s="8"/>
    </row>
    <row r="503" spans="6:8" x14ac:dyDescent="0.25">
      <c r="F503" s="8"/>
      <c r="H503" s="8"/>
    </row>
    <row r="504" spans="6:8" x14ac:dyDescent="0.25">
      <c r="F504" s="8"/>
      <c r="H504" s="8"/>
    </row>
    <row r="505" spans="6:8" x14ac:dyDescent="0.25">
      <c r="F505" s="8"/>
      <c r="H505" s="8"/>
    </row>
    <row r="506" spans="6:8" x14ac:dyDescent="0.25">
      <c r="F506" s="8"/>
      <c r="H506" s="8"/>
    </row>
    <row r="507" spans="6:8" x14ac:dyDescent="0.25">
      <c r="F507" s="8"/>
      <c r="H507" s="8"/>
    </row>
    <row r="508" spans="6:8" x14ac:dyDescent="0.25">
      <c r="F508" s="8"/>
      <c r="H508" s="8"/>
    </row>
    <row r="509" spans="6:8" x14ac:dyDescent="0.25">
      <c r="F509" s="8"/>
      <c r="H509" s="8"/>
    </row>
    <row r="510" spans="6:8" x14ac:dyDescent="0.25">
      <c r="F510" s="8"/>
      <c r="H510" s="8"/>
    </row>
    <row r="511" spans="6:8" x14ac:dyDescent="0.25">
      <c r="F511" s="8"/>
      <c r="H511" s="8"/>
    </row>
    <row r="512" spans="6:8" x14ac:dyDescent="0.25">
      <c r="F512" s="8"/>
      <c r="H512" s="8"/>
    </row>
    <row r="513" spans="6:8" x14ac:dyDescent="0.25">
      <c r="F513" s="8"/>
      <c r="H513" s="8"/>
    </row>
    <row r="514" spans="6:8" x14ac:dyDescent="0.25">
      <c r="F514" s="8"/>
      <c r="H514" s="8"/>
    </row>
    <row r="515" spans="6:8" x14ac:dyDescent="0.25">
      <c r="F515" s="8"/>
      <c r="H515" s="8"/>
    </row>
    <row r="516" spans="6:8" x14ac:dyDescent="0.25">
      <c r="F516" s="8"/>
      <c r="H516" s="8"/>
    </row>
    <row r="517" spans="6:8" x14ac:dyDescent="0.25">
      <c r="F517" s="8"/>
      <c r="H517" s="8"/>
    </row>
    <row r="518" spans="6:8" x14ac:dyDescent="0.25">
      <c r="F518" s="8"/>
      <c r="H518" s="8"/>
    </row>
    <row r="519" spans="6:8" x14ac:dyDescent="0.25">
      <c r="F519" s="8"/>
      <c r="H519" s="8"/>
    </row>
    <row r="520" spans="6:8" x14ac:dyDescent="0.25">
      <c r="F520" s="8"/>
      <c r="H520" s="8"/>
    </row>
    <row r="521" spans="6:8" x14ac:dyDescent="0.25">
      <c r="F521" s="8"/>
      <c r="H521" s="8"/>
    </row>
    <row r="522" spans="6:8" x14ac:dyDescent="0.25">
      <c r="F522" s="8"/>
      <c r="H522" s="8"/>
    </row>
    <row r="523" spans="6:8" x14ac:dyDescent="0.25">
      <c r="F523" s="8"/>
      <c r="H523" s="8"/>
    </row>
    <row r="524" spans="6:8" x14ac:dyDescent="0.25">
      <c r="F524" s="8"/>
      <c r="H524" s="8"/>
    </row>
    <row r="525" spans="6:8" x14ac:dyDescent="0.25">
      <c r="F525" s="8"/>
      <c r="H525" s="8"/>
    </row>
    <row r="526" spans="6:8" x14ac:dyDescent="0.25">
      <c r="F526" s="8"/>
      <c r="H526" s="8"/>
    </row>
    <row r="527" spans="6:8" x14ac:dyDescent="0.25">
      <c r="F527" s="8"/>
      <c r="H527" s="8"/>
    </row>
    <row r="528" spans="6:8" x14ac:dyDescent="0.25">
      <c r="F528" s="8"/>
      <c r="H528" s="8"/>
    </row>
    <row r="529" spans="6:8" x14ac:dyDescent="0.25">
      <c r="F529" s="8"/>
      <c r="H529" s="8"/>
    </row>
    <row r="530" spans="6:8" x14ac:dyDescent="0.25">
      <c r="F530" s="8"/>
      <c r="H530" s="8"/>
    </row>
    <row r="531" spans="6:8" x14ac:dyDescent="0.25">
      <c r="F531" s="8"/>
      <c r="H531" s="8"/>
    </row>
    <row r="532" spans="6:8" x14ac:dyDescent="0.25">
      <c r="F532" s="8"/>
      <c r="H532" s="8"/>
    </row>
    <row r="533" spans="6:8" x14ac:dyDescent="0.25">
      <c r="F533" s="8"/>
      <c r="H533" s="8"/>
    </row>
    <row r="534" spans="6:8" x14ac:dyDescent="0.25">
      <c r="F534" s="8"/>
      <c r="H534" s="8"/>
    </row>
    <row r="535" spans="6:8" x14ac:dyDescent="0.25">
      <c r="F535" s="8"/>
      <c r="H535" s="8"/>
    </row>
    <row r="536" spans="6:8" x14ac:dyDescent="0.25">
      <c r="F536" s="8"/>
      <c r="H536" s="8"/>
    </row>
    <row r="537" spans="6:8" x14ac:dyDescent="0.25">
      <c r="F537" s="8"/>
      <c r="H537" s="8"/>
    </row>
    <row r="538" spans="6:8" x14ac:dyDescent="0.25">
      <c r="F538" s="8"/>
      <c r="H538" s="8"/>
    </row>
    <row r="539" spans="6:8" x14ac:dyDescent="0.25">
      <c r="F539" s="8"/>
      <c r="H539" s="8"/>
    </row>
    <row r="540" spans="6:8" x14ac:dyDescent="0.25">
      <c r="F540" s="8"/>
      <c r="H540" s="8"/>
    </row>
    <row r="541" spans="6:8" x14ac:dyDescent="0.25">
      <c r="F541" s="8"/>
      <c r="H541" s="8"/>
    </row>
    <row r="542" spans="6:8" x14ac:dyDescent="0.25">
      <c r="F542" s="8"/>
      <c r="H542" s="8"/>
    </row>
    <row r="543" spans="6:8" x14ac:dyDescent="0.25">
      <c r="F543" s="8"/>
      <c r="H543" s="8"/>
    </row>
    <row r="544" spans="6:8" x14ac:dyDescent="0.25">
      <c r="F544" s="8"/>
      <c r="H544" s="8"/>
    </row>
    <row r="545" spans="6:8" x14ac:dyDescent="0.25">
      <c r="F545" s="8"/>
      <c r="H545" s="8"/>
    </row>
    <row r="546" spans="6:8" x14ac:dyDescent="0.25">
      <c r="F546" s="8"/>
      <c r="H546" s="8"/>
    </row>
    <row r="547" spans="6:8" x14ac:dyDescent="0.25">
      <c r="F547" s="8"/>
      <c r="H547" s="8"/>
    </row>
    <row r="548" spans="6:8" x14ac:dyDescent="0.25">
      <c r="F548" s="8"/>
      <c r="H548" s="8"/>
    </row>
    <row r="549" spans="6:8" x14ac:dyDescent="0.25">
      <c r="F549" s="8"/>
      <c r="H549" s="8"/>
    </row>
    <row r="550" spans="6:8" x14ac:dyDescent="0.25">
      <c r="F550" s="8"/>
      <c r="H550" s="8"/>
    </row>
    <row r="551" spans="6:8" x14ac:dyDescent="0.25">
      <c r="F551" s="8"/>
      <c r="H551" s="8"/>
    </row>
    <row r="552" spans="6:8" x14ac:dyDescent="0.25">
      <c r="F552" s="8"/>
      <c r="H552" s="8"/>
    </row>
    <row r="553" spans="6:8" x14ac:dyDescent="0.25">
      <c r="F553" s="8"/>
      <c r="H553" s="8"/>
    </row>
    <row r="554" spans="6:8" x14ac:dyDescent="0.25">
      <c r="F554" s="8"/>
      <c r="H554" s="8"/>
    </row>
    <row r="555" spans="6:8" x14ac:dyDescent="0.25">
      <c r="F555" s="8"/>
      <c r="H555" s="8"/>
    </row>
    <row r="556" spans="6:8" x14ac:dyDescent="0.25">
      <c r="F556" s="8"/>
      <c r="H556" s="8"/>
    </row>
    <row r="557" spans="6:8" x14ac:dyDescent="0.25">
      <c r="F557" s="8"/>
      <c r="H557" s="8"/>
    </row>
    <row r="558" spans="6:8" x14ac:dyDescent="0.25">
      <c r="F558" s="8"/>
      <c r="H558" s="8"/>
    </row>
    <row r="559" spans="6:8" x14ac:dyDescent="0.25">
      <c r="F559" s="8"/>
      <c r="H559" s="8"/>
    </row>
    <row r="560" spans="6:8" x14ac:dyDescent="0.25">
      <c r="F560" s="8"/>
      <c r="H560" s="8"/>
    </row>
    <row r="561" spans="6:8" x14ac:dyDescent="0.25">
      <c r="F561" s="8"/>
      <c r="H561" s="8"/>
    </row>
    <row r="562" spans="6:8" x14ac:dyDescent="0.25">
      <c r="F562" s="8"/>
      <c r="H562" s="8"/>
    </row>
    <row r="563" spans="6:8" x14ac:dyDescent="0.25">
      <c r="F563" s="8"/>
      <c r="H563" s="8"/>
    </row>
    <row r="564" spans="6:8" x14ac:dyDescent="0.25">
      <c r="F564" s="8"/>
      <c r="H564" s="8"/>
    </row>
    <row r="565" spans="6:8" x14ac:dyDescent="0.25">
      <c r="F565" s="8"/>
      <c r="H565" s="8"/>
    </row>
    <row r="566" spans="6:8" x14ac:dyDescent="0.25">
      <c r="F566" s="8"/>
      <c r="H566" s="8"/>
    </row>
    <row r="567" spans="6:8" x14ac:dyDescent="0.25">
      <c r="F567" s="8"/>
      <c r="H567" s="8"/>
    </row>
    <row r="568" spans="6:8" x14ac:dyDescent="0.25">
      <c r="F568" s="8"/>
      <c r="H568" s="8"/>
    </row>
    <row r="569" spans="6:8" x14ac:dyDescent="0.25">
      <c r="F569" s="8"/>
      <c r="H569" s="8"/>
    </row>
    <row r="570" spans="6:8" x14ac:dyDescent="0.25">
      <c r="F570" s="8"/>
      <c r="H570" s="8"/>
    </row>
    <row r="571" spans="6:8" x14ac:dyDescent="0.25">
      <c r="F571" s="8"/>
      <c r="H571" s="8"/>
    </row>
    <row r="572" spans="6:8" x14ac:dyDescent="0.25">
      <c r="F572" s="8"/>
      <c r="H572" s="8"/>
    </row>
    <row r="573" spans="6:8" x14ac:dyDescent="0.25">
      <c r="F573" s="8"/>
      <c r="H573" s="8"/>
    </row>
    <row r="574" spans="6:8" x14ac:dyDescent="0.25">
      <c r="F574" s="8"/>
      <c r="H574" s="8"/>
    </row>
    <row r="575" spans="6:8" x14ac:dyDescent="0.25">
      <c r="F575" s="8"/>
      <c r="H575" s="8"/>
    </row>
    <row r="576" spans="6:8" x14ac:dyDescent="0.25">
      <c r="F576" s="8"/>
      <c r="H576" s="8"/>
    </row>
    <row r="577" spans="6:8" x14ac:dyDescent="0.25">
      <c r="F577" s="8"/>
      <c r="H577" s="8"/>
    </row>
    <row r="578" spans="6:8" x14ac:dyDescent="0.25">
      <c r="F578" s="8"/>
      <c r="H578" s="8"/>
    </row>
    <row r="579" spans="6:8" x14ac:dyDescent="0.25">
      <c r="F579" s="8"/>
      <c r="H579" s="8"/>
    </row>
    <row r="580" spans="6:8" x14ac:dyDescent="0.25">
      <c r="F580" s="8"/>
      <c r="H580" s="8"/>
    </row>
    <row r="581" spans="6:8" x14ac:dyDescent="0.25">
      <c r="F581" s="8"/>
      <c r="H581" s="8"/>
    </row>
    <row r="582" spans="6:8" x14ac:dyDescent="0.25">
      <c r="F582" s="8"/>
      <c r="H582" s="8"/>
    </row>
    <row r="583" spans="6:8" x14ac:dyDescent="0.25">
      <c r="F583" s="8"/>
      <c r="H583" s="8"/>
    </row>
    <row r="584" spans="6:8" x14ac:dyDescent="0.25">
      <c r="F584" s="8"/>
      <c r="H584" s="8"/>
    </row>
    <row r="585" spans="6:8" x14ac:dyDescent="0.25">
      <c r="F585" s="8"/>
      <c r="H585" s="8"/>
    </row>
    <row r="586" spans="6:8" x14ac:dyDescent="0.25">
      <c r="F586" s="8"/>
      <c r="H586" s="8"/>
    </row>
    <row r="587" spans="6:8" x14ac:dyDescent="0.25">
      <c r="F587" s="8"/>
      <c r="H587" s="8"/>
    </row>
    <row r="588" spans="6:8" x14ac:dyDescent="0.25">
      <c r="F588" s="8"/>
      <c r="H588" s="8"/>
    </row>
    <row r="589" spans="6:8" x14ac:dyDescent="0.25">
      <c r="F589" s="8"/>
      <c r="H589" s="8"/>
    </row>
    <row r="590" spans="6:8" x14ac:dyDescent="0.25">
      <c r="F590" s="8"/>
      <c r="H590" s="8"/>
    </row>
    <row r="591" spans="6:8" x14ac:dyDescent="0.25">
      <c r="F591" s="8"/>
      <c r="H591" s="8"/>
    </row>
    <row r="592" spans="6:8" x14ac:dyDescent="0.25">
      <c r="F592" s="8"/>
      <c r="H592" s="8"/>
    </row>
    <row r="593" spans="6:8" x14ac:dyDescent="0.25">
      <c r="F593" s="8"/>
      <c r="H593" s="8"/>
    </row>
    <row r="594" spans="6:8" x14ac:dyDescent="0.25">
      <c r="F594" s="8"/>
      <c r="H594" s="8"/>
    </row>
    <row r="595" spans="6:8" x14ac:dyDescent="0.25">
      <c r="F595" s="8"/>
      <c r="H595" s="8"/>
    </row>
    <row r="596" spans="6:8" x14ac:dyDescent="0.25">
      <c r="F596" s="8"/>
      <c r="H596" s="8"/>
    </row>
    <row r="597" spans="6:8" x14ac:dyDescent="0.25">
      <c r="F597" s="8"/>
      <c r="H597" s="8"/>
    </row>
    <row r="598" spans="6:8" x14ac:dyDescent="0.25">
      <c r="F598" s="8"/>
      <c r="H598" s="8"/>
    </row>
    <row r="599" spans="6:8" x14ac:dyDescent="0.25">
      <c r="F599" s="8"/>
      <c r="H599" s="8"/>
    </row>
    <row r="600" spans="6:8" x14ac:dyDescent="0.25">
      <c r="F600" s="8"/>
      <c r="H600" s="8"/>
    </row>
    <row r="601" spans="6:8" x14ac:dyDescent="0.25">
      <c r="F601" s="8"/>
      <c r="H601" s="8"/>
    </row>
    <row r="602" spans="6:8" x14ac:dyDescent="0.25">
      <c r="F602" s="8"/>
      <c r="H602" s="8"/>
    </row>
    <row r="603" spans="6:8" x14ac:dyDescent="0.25">
      <c r="F603" s="8"/>
      <c r="H603" s="8"/>
    </row>
    <row r="604" spans="6:8" x14ac:dyDescent="0.25">
      <c r="F604" s="8"/>
      <c r="H604" s="8"/>
    </row>
    <row r="605" spans="6:8" x14ac:dyDescent="0.25">
      <c r="F605" s="8"/>
      <c r="H605" s="8"/>
    </row>
    <row r="606" spans="6:8" x14ac:dyDescent="0.25">
      <c r="F606" s="8"/>
      <c r="H606" s="8"/>
    </row>
    <row r="607" spans="6:8" x14ac:dyDescent="0.25">
      <c r="F607" s="8"/>
      <c r="H607" s="8"/>
    </row>
    <row r="608" spans="6:8" x14ac:dyDescent="0.25">
      <c r="F608" s="8"/>
      <c r="H608" s="8"/>
    </row>
    <row r="609" spans="6:8" x14ac:dyDescent="0.25">
      <c r="F609" s="8"/>
      <c r="H609" s="8"/>
    </row>
    <row r="610" spans="6:8" x14ac:dyDescent="0.25">
      <c r="F610" s="8"/>
      <c r="H610" s="8"/>
    </row>
    <row r="611" spans="6:8" x14ac:dyDescent="0.25">
      <c r="F611" s="8"/>
      <c r="H611" s="8"/>
    </row>
    <row r="612" spans="6:8" x14ac:dyDescent="0.25">
      <c r="F612" s="8"/>
      <c r="H612" s="8"/>
    </row>
    <row r="613" spans="6:8" x14ac:dyDescent="0.25">
      <c r="F613" s="8"/>
      <c r="H613" s="8"/>
    </row>
    <row r="614" spans="6:8" x14ac:dyDescent="0.25">
      <c r="F614" s="8"/>
      <c r="H614" s="8"/>
    </row>
    <row r="615" spans="6:8" x14ac:dyDescent="0.25">
      <c r="F615" s="8"/>
      <c r="H615" s="8"/>
    </row>
    <row r="616" spans="6:8" x14ac:dyDescent="0.25">
      <c r="F616" s="8"/>
      <c r="H616" s="8"/>
    </row>
    <row r="617" spans="6:8" x14ac:dyDescent="0.25">
      <c r="F617" s="8"/>
      <c r="H617" s="8"/>
    </row>
    <row r="618" spans="6:8" x14ac:dyDescent="0.25">
      <c r="F618" s="8"/>
      <c r="H618" s="8"/>
    </row>
    <row r="619" spans="6:8" x14ac:dyDescent="0.25">
      <c r="F619" s="8"/>
      <c r="H619" s="8"/>
    </row>
    <row r="620" spans="6:8" x14ac:dyDescent="0.25">
      <c r="F620" s="8"/>
      <c r="H620" s="8"/>
    </row>
    <row r="621" spans="6:8" x14ac:dyDescent="0.25">
      <c r="F621" s="8"/>
      <c r="H621" s="8"/>
    </row>
    <row r="622" spans="6:8" x14ac:dyDescent="0.25">
      <c r="F622" s="8"/>
      <c r="H622" s="8"/>
    </row>
    <row r="623" spans="6:8" x14ac:dyDescent="0.25">
      <c r="F623" s="8"/>
      <c r="H623" s="8"/>
    </row>
    <row r="624" spans="6:8" x14ac:dyDescent="0.25">
      <c r="F624" s="8"/>
      <c r="H624" s="8"/>
    </row>
    <row r="625" spans="6:8" x14ac:dyDescent="0.25">
      <c r="F625" s="8"/>
      <c r="H625" s="8"/>
    </row>
    <row r="626" spans="6:8" x14ac:dyDescent="0.25">
      <c r="F626" s="8"/>
      <c r="H626" s="8"/>
    </row>
    <row r="627" spans="6:8" x14ac:dyDescent="0.25">
      <c r="F627" s="8"/>
      <c r="H627" s="8"/>
    </row>
    <row r="628" spans="6:8" x14ac:dyDescent="0.25">
      <c r="F628" s="8"/>
      <c r="H628" s="8"/>
    </row>
    <row r="629" spans="6:8" x14ac:dyDescent="0.25">
      <c r="F629" s="8"/>
      <c r="H629" s="8"/>
    </row>
    <row r="630" spans="6:8" x14ac:dyDescent="0.25">
      <c r="F630" s="8"/>
      <c r="H630" s="8"/>
    </row>
    <row r="631" spans="6:8" x14ac:dyDescent="0.25">
      <c r="F631" s="8"/>
      <c r="H631" s="8"/>
    </row>
    <row r="632" spans="6:8" x14ac:dyDescent="0.25">
      <c r="F632" s="8"/>
      <c r="H632" s="8"/>
    </row>
    <row r="633" spans="6:8" x14ac:dyDescent="0.25">
      <c r="F633" s="8"/>
      <c r="H633" s="8"/>
    </row>
    <row r="634" spans="6:8" x14ac:dyDescent="0.25">
      <c r="F634" s="8"/>
      <c r="H634" s="8"/>
    </row>
    <row r="635" spans="6:8" x14ac:dyDescent="0.25">
      <c r="F635" s="8"/>
      <c r="H635" s="8"/>
    </row>
    <row r="636" spans="6:8" x14ac:dyDescent="0.25">
      <c r="F636" s="8"/>
      <c r="H636" s="8"/>
    </row>
    <row r="637" spans="6:8" x14ac:dyDescent="0.25">
      <c r="F637" s="8"/>
      <c r="H637" s="8"/>
    </row>
    <row r="638" spans="6:8" x14ac:dyDescent="0.25">
      <c r="F638" s="8"/>
      <c r="H638" s="8"/>
    </row>
    <row r="639" spans="6:8" x14ac:dyDescent="0.25">
      <c r="F639" s="8"/>
      <c r="H639" s="8"/>
    </row>
    <row r="640" spans="6:8" x14ac:dyDescent="0.25">
      <c r="F640" s="8"/>
      <c r="H640" s="8"/>
    </row>
    <row r="641" spans="6:8" x14ac:dyDescent="0.25">
      <c r="F641" s="8"/>
      <c r="H641" s="8"/>
    </row>
    <row r="642" spans="6:8" x14ac:dyDescent="0.25">
      <c r="F642" s="8"/>
      <c r="H642" s="8"/>
    </row>
    <row r="643" spans="6:8" x14ac:dyDescent="0.25">
      <c r="F643" s="8"/>
      <c r="H643" s="8"/>
    </row>
    <row r="644" spans="6:8" x14ac:dyDescent="0.25">
      <c r="F644" s="8"/>
      <c r="H644" s="8"/>
    </row>
    <row r="645" spans="6:8" x14ac:dyDescent="0.25">
      <c r="F645" s="8"/>
      <c r="H645" s="8"/>
    </row>
    <row r="646" spans="6:8" x14ac:dyDescent="0.25">
      <c r="F646" s="8"/>
      <c r="H646" s="8"/>
    </row>
    <row r="647" spans="6:8" x14ac:dyDescent="0.25">
      <c r="F647" s="8"/>
      <c r="H647" s="8"/>
    </row>
    <row r="648" spans="6:8" x14ac:dyDescent="0.25">
      <c r="F648" s="8"/>
      <c r="H648" s="8"/>
    </row>
    <row r="649" spans="6:8" x14ac:dyDescent="0.25">
      <c r="F649" s="8"/>
      <c r="H649" s="8"/>
    </row>
    <row r="650" spans="6:8" x14ac:dyDescent="0.25">
      <c r="F650" s="8"/>
      <c r="H650" s="8"/>
    </row>
    <row r="651" spans="6:8" x14ac:dyDescent="0.25">
      <c r="F651" s="8"/>
      <c r="H651" s="8"/>
    </row>
    <row r="652" spans="6:8" x14ac:dyDescent="0.25">
      <c r="F652" s="8"/>
      <c r="H652" s="8"/>
    </row>
    <row r="653" spans="6:8" x14ac:dyDescent="0.25">
      <c r="F653" s="8"/>
      <c r="H653" s="8"/>
    </row>
    <row r="654" spans="6:8" x14ac:dyDescent="0.25">
      <c r="F654" s="8"/>
      <c r="H654" s="8"/>
    </row>
    <row r="655" spans="6:8" x14ac:dyDescent="0.25">
      <c r="F655" s="8"/>
      <c r="H655" s="8"/>
    </row>
    <row r="656" spans="6:8" x14ac:dyDescent="0.25">
      <c r="F656" s="8"/>
      <c r="H656" s="8"/>
    </row>
    <row r="657" spans="6:8" x14ac:dyDescent="0.25">
      <c r="F657" s="8"/>
      <c r="H657" s="8"/>
    </row>
    <row r="658" spans="6:8" x14ac:dyDescent="0.25">
      <c r="F658" s="8"/>
      <c r="H658" s="8"/>
    </row>
    <row r="659" spans="6:8" x14ac:dyDescent="0.25">
      <c r="F659" s="8"/>
      <c r="H659" s="8"/>
    </row>
    <row r="660" spans="6:8" x14ac:dyDescent="0.25">
      <c r="F660" s="8"/>
      <c r="H660" s="8"/>
    </row>
    <row r="661" spans="6:8" x14ac:dyDescent="0.25">
      <c r="F661" s="8"/>
      <c r="H661" s="8"/>
    </row>
    <row r="662" spans="6:8" x14ac:dyDescent="0.25">
      <c r="F662" s="8"/>
      <c r="H662" s="8"/>
    </row>
    <row r="663" spans="6:8" x14ac:dyDescent="0.25">
      <c r="F663" s="8"/>
      <c r="H663" s="8"/>
    </row>
    <row r="664" spans="6:8" x14ac:dyDescent="0.25">
      <c r="F664" s="8"/>
      <c r="H664" s="8"/>
    </row>
    <row r="665" spans="6:8" x14ac:dyDescent="0.25">
      <c r="F665" s="8"/>
      <c r="H665" s="8"/>
    </row>
    <row r="666" spans="6:8" x14ac:dyDescent="0.25">
      <c r="F666" s="8"/>
      <c r="H666" s="8"/>
    </row>
    <row r="667" spans="6:8" x14ac:dyDescent="0.25">
      <c r="F667" s="8"/>
      <c r="H667" s="8"/>
    </row>
    <row r="668" spans="6:8" x14ac:dyDescent="0.25">
      <c r="F668" s="8"/>
      <c r="H668" s="8"/>
    </row>
    <row r="669" spans="6:8" x14ac:dyDescent="0.25">
      <c r="F669" s="8"/>
      <c r="H669" s="8"/>
    </row>
    <row r="670" spans="6:8" x14ac:dyDescent="0.25">
      <c r="F670" s="8"/>
      <c r="H670" s="8"/>
    </row>
    <row r="671" spans="6:8" x14ac:dyDescent="0.25">
      <c r="F671" s="8"/>
      <c r="H671" s="8"/>
    </row>
    <row r="672" spans="6:8" x14ac:dyDescent="0.25">
      <c r="F672" s="8"/>
      <c r="H672" s="8"/>
    </row>
    <row r="673" spans="6:8" x14ac:dyDescent="0.25">
      <c r="F673" s="8"/>
      <c r="H673" s="8"/>
    </row>
    <row r="674" spans="6:8" x14ac:dyDescent="0.25">
      <c r="F674" s="8"/>
      <c r="H674" s="8"/>
    </row>
    <row r="675" spans="6:8" x14ac:dyDescent="0.25">
      <c r="F675" s="8"/>
      <c r="H675" s="8"/>
    </row>
    <row r="676" spans="6:8" x14ac:dyDescent="0.25">
      <c r="F676" s="8"/>
      <c r="H676" s="8"/>
    </row>
    <row r="677" spans="6:8" x14ac:dyDescent="0.25">
      <c r="F677" s="8"/>
      <c r="H677" s="8"/>
    </row>
    <row r="678" spans="6:8" x14ac:dyDescent="0.25">
      <c r="F678" s="8"/>
      <c r="H678" s="8"/>
    </row>
    <row r="679" spans="6:8" x14ac:dyDescent="0.25">
      <c r="F679" s="8"/>
      <c r="H679" s="8"/>
    </row>
    <row r="680" spans="6:8" x14ac:dyDescent="0.25">
      <c r="F680" s="8"/>
      <c r="H680" s="8"/>
    </row>
    <row r="681" spans="6:8" x14ac:dyDescent="0.25">
      <c r="F681" s="8"/>
      <c r="H681" s="8"/>
    </row>
    <row r="682" spans="6:8" x14ac:dyDescent="0.25">
      <c r="F682" s="8"/>
      <c r="H682" s="8"/>
    </row>
    <row r="683" spans="6:8" x14ac:dyDescent="0.25">
      <c r="F683" s="8"/>
      <c r="H683" s="8"/>
    </row>
    <row r="684" spans="6:8" x14ac:dyDescent="0.25">
      <c r="F684" s="8"/>
      <c r="H684" s="8"/>
    </row>
    <row r="685" spans="6:8" x14ac:dyDescent="0.25">
      <c r="F685" s="8"/>
      <c r="H685" s="8"/>
    </row>
    <row r="686" spans="6:8" x14ac:dyDescent="0.25">
      <c r="F686" s="8"/>
      <c r="H686" s="8"/>
    </row>
    <row r="687" spans="6:8" x14ac:dyDescent="0.25">
      <c r="F687" s="8"/>
      <c r="H687" s="8"/>
    </row>
    <row r="688" spans="6:8" x14ac:dyDescent="0.25">
      <c r="F688" s="8"/>
      <c r="H688" s="8"/>
    </row>
    <row r="689" spans="6:8" x14ac:dyDescent="0.25">
      <c r="F689" s="8"/>
      <c r="H689" s="8"/>
    </row>
    <row r="690" spans="6:8" x14ac:dyDescent="0.25">
      <c r="F690" s="8"/>
      <c r="H690" s="8"/>
    </row>
    <row r="691" spans="6:8" x14ac:dyDescent="0.25">
      <c r="F691" s="8"/>
      <c r="H691" s="8"/>
    </row>
    <row r="692" spans="6:8" x14ac:dyDescent="0.25">
      <c r="F692" s="8"/>
      <c r="H692" s="8"/>
    </row>
    <row r="693" spans="6:8" x14ac:dyDescent="0.25">
      <c r="F693" s="8"/>
      <c r="H693" s="8"/>
    </row>
    <row r="694" spans="6:8" x14ac:dyDescent="0.25">
      <c r="F694" s="8"/>
      <c r="H694" s="8"/>
    </row>
    <row r="695" spans="6:8" x14ac:dyDescent="0.25">
      <c r="F695" s="8"/>
      <c r="H695" s="8"/>
    </row>
    <row r="696" spans="6:8" x14ac:dyDescent="0.25">
      <c r="F696" s="8"/>
      <c r="H696" s="8"/>
    </row>
    <row r="697" spans="6:8" x14ac:dyDescent="0.25">
      <c r="F697" s="8"/>
      <c r="H697" s="8"/>
    </row>
    <row r="698" spans="6:8" x14ac:dyDescent="0.25">
      <c r="F698" s="8"/>
      <c r="H698" s="8"/>
    </row>
    <row r="699" spans="6:8" x14ac:dyDescent="0.25">
      <c r="F699" s="8"/>
      <c r="H699" s="8"/>
    </row>
    <row r="700" spans="6:8" x14ac:dyDescent="0.25">
      <c r="F700" s="8"/>
      <c r="H700" s="8"/>
    </row>
    <row r="701" spans="6:8" x14ac:dyDescent="0.25">
      <c r="F701" s="8"/>
      <c r="H701" s="8"/>
    </row>
    <row r="702" spans="6:8" x14ac:dyDescent="0.25">
      <c r="F702" s="8"/>
      <c r="H702" s="8"/>
    </row>
    <row r="703" spans="6:8" x14ac:dyDescent="0.25">
      <c r="F703" s="8"/>
      <c r="H703" s="8"/>
    </row>
    <row r="704" spans="6:8" x14ac:dyDescent="0.25">
      <c r="F704" s="8"/>
      <c r="H704" s="8"/>
    </row>
    <row r="705" spans="6:8" x14ac:dyDescent="0.25">
      <c r="F705" s="8"/>
      <c r="H705" s="8"/>
    </row>
    <row r="706" spans="6:8" x14ac:dyDescent="0.25">
      <c r="F706" s="8"/>
      <c r="H706" s="8"/>
    </row>
    <row r="707" spans="6:8" x14ac:dyDescent="0.25">
      <c r="F707" s="8"/>
      <c r="H707" s="8"/>
    </row>
    <row r="708" spans="6:8" x14ac:dyDescent="0.25">
      <c r="F708" s="8"/>
      <c r="H708" s="8"/>
    </row>
    <row r="709" spans="6:8" x14ac:dyDescent="0.25">
      <c r="F709" s="8"/>
      <c r="H709" s="8"/>
    </row>
    <row r="710" spans="6:8" x14ac:dyDescent="0.25">
      <c r="F710" s="8"/>
      <c r="H710" s="8"/>
    </row>
    <row r="711" spans="6:8" x14ac:dyDescent="0.25">
      <c r="F711" s="8"/>
      <c r="H711" s="8"/>
    </row>
    <row r="712" spans="6:8" x14ac:dyDescent="0.25">
      <c r="F712" s="8"/>
      <c r="H712" s="8"/>
    </row>
    <row r="713" spans="6:8" x14ac:dyDescent="0.25">
      <c r="F713" s="8"/>
      <c r="H713" s="8"/>
    </row>
    <row r="714" spans="6:8" x14ac:dyDescent="0.25">
      <c r="F714" s="8"/>
      <c r="H714" s="8"/>
    </row>
    <row r="715" spans="6:8" x14ac:dyDescent="0.25">
      <c r="F715" s="8"/>
      <c r="H715" s="8"/>
    </row>
    <row r="716" spans="6:8" x14ac:dyDescent="0.25">
      <c r="F716" s="8"/>
      <c r="H716" s="8"/>
    </row>
    <row r="717" spans="6:8" x14ac:dyDescent="0.25">
      <c r="F717" s="8"/>
      <c r="H717" s="8"/>
    </row>
    <row r="718" spans="6:8" x14ac:dyDescent="0.25">
      <c r="F718" s="8"/>
      <c r="H718" s="8"/>
    </row>
    <row r="719" spans="6:8" x14ac:dyDescent="0.25">
      <c r="F719" s="8"/>
      <c r="H719" s="8"/>
    </row>
    <row r="720" spans="6:8" x14ac:dyDescent="0.25">
      <c r="F720" s="8"/>
      <c r="H720" s="8"/>
    </row>
    <row r="721" spans="6:8" x14ac:dyDescent="0.25">
      <c r="F721" s="8"/>
      <c r="H721" s="8"/>
    </row>
    <row r="722" spans="6:8" x14ac:dyDescent="0.25">
      <c r="F722" s="8"/>
      <c r="H722" s="8"/>
    </row>
    <row r="723" spans="6:8" x14ac:dyDescent="0.25">
      <c r="F723" s="8"/>
      <c r="H723" s="8"/>
    </row>
    <row r="724" spans="6:8" x14ac:dyDescent="0.25">
      <c r="F724" s="8"/>
      <c r="H724" s="8"/>
    </row>
    <row r="725" spans="6:8" x14ac:dyDescent="0.25">
      <c r="F725" s="8"/>
      <c r="H725" s="8"/>
    </row>
    <row r="726" spans="6:8" x14ac:dyDescent="0.25">
      <c r="F726" s="8"/>
      <c r="H726" s="8"/>
    </row>
    <row r="727" spans="6:8" x14ac:dyDescent="0.25">
      <c r="F727" s="8"/>
      <c r="H727" s="8"/>
    </row>
    <row r="728" spans="6:8" x14ac:dyDescent="0.25">
      <c r="F728" s="8"/>
      <c r="H728" s="8"/>
    </row>
    <row r="729" spans="6:8" x14ac:dyDescent="0.25">
      <c r="F729" s="8"/>
      <c r="H729" s="8"/>
    </row>
    <row r="730" spans="6:8" x14ac:dyDescent="0.25">
      <c r="F730" s="8"/>
      <c r="H730" s="8"/>
    </row>
    <row r="731" spans="6:8" x14ac:dyDescent="0.25">
      <c r="F731" s="8"/>
      <c r="H731" s="8"/>
    </row>
    <row r="732" spans="6:8" x14ac:dyDescent="0.25">
      <c r="F732" s="8"/>
      <c r="H732" s="8"/>
    </row>
    <row r="733" spans="6:8" x14ac:dyDescent="0.25">
      <c r="F733" s="8"/>
      <c r="H733" s="8"/>
    </row>
    <row r="734" spans="6:8" x14ac:dyDescent="0.25">
      <c r="F734" s="8"/>
      <c r="H734" s="8"/>
    </row>
    <row r="735" spans="6:8" x14ac:dyDescent="0.25">
      <c r="F735" s="8"/>
      <c r="H735" s="8"/>
    </row>
    <row r="736" spans="6:8" x14ac:dyDescent="0.25">
      <c r="F736" s="8"/>
      <c r="H736" s="8"/>
    </row>
    <row r="737" spans="6:8" x14ac:dyDescent="0.25">
      <c r="F737" s="8"/>
      <c r="H737" s="8"/>
    </row>
    <row r="738" spans="6:8" x14ac:dyDescent="0.25">
      <c r="F738" s="8"/>
      <c r="H738" s="8"/>
    </row>
    <row r="739" spans="6:8" x14ac:dyDescent="0.25">
      <c r="F739" s="8"/>
      <c r="H739" s="8"/>
    </row>
    <row r="740" spans="6:8" x14ac:dyDescent="0.25">
      <c r="F740" s="8"/>
      <c r="H740" s="8"/>
    </row>
    <row r="741" spans="6:8" x14ac:dyDescent="0.25">
      <c r="F741" s="8"/>
      <c r="H741" s="8"/>
    </row>
    <row r="742" spans="6:8" x14ac:dyDescent="0.25">
      <c r="F742" s="8"/>
      <c r="H742" s="8"/>
    </row>
    <row r="743" spans="6:8" x14ac:dyDescent="0.25">
      <c r="F743" s="8"/>
      <c r="H743" s="8"/>
    </row>
    <row r="744" spans="6:8" x14ac:dyDescent="0.25">
      <c r="F744" s="8"/>
      <c r="H744" s="8"/>
    </row>
    <row r="745" spans="6:8" x14ac:dyDescent="0.25">
      <c r="F745" s="8"/>
      <c r="H745" s="8"/>
    </row>
    <row r="746" spans="6:8" x14ac:dyDescent="0.25">
      <c r="F746" s="8"/>
      <c r="H746" s="8"/>
    </row>
    <row r="747" spans="6:8" x14ac:dyDescent="0.25">
      <c r="F747" s="8"/>
      <c r="H747" s="8"/>
    </row>
    <row r="748" spans="6:8" x14ac:dyDescent="0.25">
      <c r="F748" s="8"/>
      <c r="H748" s="8"/>
    </row>
    <row r="749" spans="6:8" x14ac:dyDescent="0.25">
      <c r="F749" s="8"/>
      <c r="H749" s="8"/>
    </row>
    <row r="750" spans="6:8" x14ac:dyDescent="0.25">
      <c r="F750" s="8"/>
      <c r="H750" s="8"/>
    </row>
    <row r="751" spans="6:8" x14ac:dyDescent="0.25">
      <c r="F751" s="8"/>
      <c r="H751" s="8"/>
    </row>
    <row r="752" spans="6:8" x14ac:dyDescent="0.25">
      <c r="F752" s="8"/>
      <c r="H752" s="8"/>
    </row>
    <row r="753" spans="6:8" x14ac:dyDescent="0.25">
      <c r="F753" s="8"/>
      <c r="H753" s="8"/>
    </row>
    <row r="754" spans="6:8" x14ac:dyDescent="0.25">
      <c r="F754" s="8"/>
      <c r="H754" s="8"/>
    </row>
    <row r="755" spans="6:8" x14ac:dyDescent="0.25">
      <c r="F755" s="8"/>
      <c r="H755" s="8"/>
    </row>
    <row r="756" spans="6:8" x14ac:dyDescent="0.25">
      <c r="F756" s="8"/>
      <c r="H756" s="8"/>
    </row>
    <row r="757" spans="6:8" x14ac:dyDescent="0.25">
      <c r="F757" s="8"/>
      <c r="H757" s="8"/>
    </row>
    <row r="758" spans="6:8" x14ac:dyDescent="0.25">
      <c r="F758" s="8"/>
      <c r="H758" s="8"/>
    </row>
    <row r="759" spans="6:8" x14ac:dyDescent="0.25">
      <c r="F759" s="8"/>
      <c r="H759" s="8"/>
    </row>
    <row r="760" spans="6:8" x14ac:dyDescent="0.25">
      <c r="F760" s="8"/>
      <c r="H760" s="8"/>
    </row>
    <row r="761" spans="6:8" x14ac:dyDescent="0.25">
      <c r="F761" s="8"/>
      <c r="H761" s="8"/>
    </row>
    <row r="762" spans="6:8" x14ac:dyDescent="0.25">
      <c r="F762" s="8"/>
      <c r="H762" s="8"/>
    </row>
    <row r="763" spans="6:8" x14ac:dyDescent="0.25">
      <c r="F763" s="8"/>
      <c r="H763" s="8"/>
    </row>
    <row r="764" spans="6:8" x14ac:dyDescent="0.25">
      <c r="F764" s="8"/>
      <c r="H764" s="8"/>
    </row>
    <row r="765" spans="6:8" x14ac:dyDescent="0.25">
      <c r="F765" s="8"/>
      <c r="H765" s="8"/>
    </row>
    <row r="766" spans="6:8" x14ac:dyDescent="0.25">
      <c r="F766" s="8"/>
      <c r="H766" s="8"/>
    </row>
    <row r="767" spans="6:8" x14ac:dyDescent="0.25">
      <c r="F767" s="8"/>
      <c r="H767" s="8"/>
    </row>
    <row r="768" spans="6:8" x14ac:dyDescent="0.25">
      <c r="F768" s="8"/>
      <c r="H768" s="8"/>
    </row>
    <row r="769" spans="6:8" x14ac:dyDescent="0.25">
      <c r="F769" s="8"/>
      <c r="H769" s="8"/>
    </row>
    <row r="770" spans="6:8" x14ac:dyDescent="0.25">
      <c r="F770" s="8"/>
      <c r="H770" s="8"/>
    </row>
    <row r="771" spans="6:8" x14ac:dyDescent="0.25">
      <c r="F771" s="8"/>
      <c r="H771" s="8"/>
    </row>
    <row r="772" spans="6:8" x14ac:dyDescent="0.25">
      <c r="F772" s="8"/>
      <c r="H772" s="8"/>
    </row>
    <row r="773" spans="6:8" x14ac:dyDescent="0.25">
      <c r="F773" s="8"/>
      <c r="H773" s="8"/>
    </row>
    <row r="774" spans="6:8" x14ac:dyDescent="0.25">
      <c r="F774" s="8"/>
      <c r="H774" s="8"/>
    </row>
    <row r="775" spans="6:8" x14ac:dyDescent="0.25">
      <c r="F775" s="8"/>
      <c r="H775" s="8"/>
    </row>
    <row r="776" spans="6:8" x14ac:dyDescent="0.25">
      <c r="F776" s="8"/>
      <c r="H776" s="8"/>
    </row>
    <row r="777" spans="6:8" x14ac:dyDescent="0.25">
      <c r="F777" s="8"/>
      <c r="H777" s="8"/>
    </row>
    <row r="778" spans="6:8" x14ac:dyDescent="0.25">
      <c r="F778" s="8"/>
      <c r="H778" s="8"/>
    </row>
    <row r="779" spans="6:8" x14ac:dyDescent="0.25">
      <c r="F779" s="8"/>
      <c r="H779" s="8"/>
    </row>
    <row r="780" spans="6:8" x14ac:dyDescent="0.25">
      <c r="F780" s="8"/>
      <c r="H780" s="8"/>
    </row>
    <row r="781" spans="6:8" x14ac:dyDescent="0.25">
      <c r="F781" s="8"/>
      <c r="H781" s="8"/>
    </row>
    <row r="782" spans="6:8" x14ac:dyDescent="0.25">
      <c r="F782" s="8"/>
      <c r="H782" s="8"/>
    </row>
    <row r="783" spans="6:8" x14ac:dyDescent="0.25">
      <c r="F783" s="8"/>
      <c r="H783" s="8"/>
    </row>
    <row r="784" spans="6:8" x14ac:dyDescent="0.25">
      <c r="F784" s="8"/>
      <c r="H784" s="8"/>
    </row>
    <row r="785" spans="6:8" x14ac:dyDescent="0.25">
      <c r="F785" s="8"/>
      <c r="H785" s="8"/>
    </row>
    <row r="786" spans="6:8" x14ac:dyDescent="0.25">
      <c r="F786" s="8"/>
      <c r="H786" s="8"/>
    </row>
    <row r="787" spans="6:8" x14ac:dyDescent="0.25">
      <c r="F787" s="8"/>
      <c r="H787" s="8"/>
    </row>
    <row r="788" spans="6:8" x14ac:dyDescent="0.25">
      <c r="F788" s="8"/>
      <c r="H788" s="8"/>
    </row>
    <row r="789" spans="6:8" x14ac:dyDescent="0.25">
      <c r="F789" s="8"/>
      <c r="H789" s="8"/>
    </row>
    <row r="790" spans="6:8" x14ac:dyDescent="0.25">
      <c r="F790" s="8"/>
      <c r="H790" s="8"/>
    </row>
    <row r="791" spans="6:8" x14ac:dyDescent="0.25">
      <c r="F791" s="8"/>
      <c r="H791" s="8"/>
    </row>
    <row r="792" spans="6:8" x14ac:dyDescent="0.25">
      <c r="F792" s="8"/>
      <c r="H792" s="8"/>
    </row>
    <row r="793" spans="6:8" x14ac:dyDescent="0.25">
      <c r="F793" s="8"/>
      <c r="H793" s="8"/>
    </row>
    <row r="794" spans="6:8" x14ac:dyDescent="0.25">
      <c r="F794" s="8"/>
      <c r="H794" s="8"/>
    </row>
    <row r="795" spans="6:8" x14ac:dyDescent="0.25">
      <c r="F795" s="8"/>
      <c r="H795" s="8"/>
    </row>
    <row r="796" spans="6:8" x14ac:dyDescent="0.25">
      <c r="F796" s="8"/>
      <c r="H796" s="8"/>
    </row>
    <row r="797" spans="6:8" x14ac:dyDescent="0.25">
      <c r="F797" s="8"/>
      <c r="H797" s="8"/>
    </row>
    <row r="798" spans="6:8" x14ac:dyDescent="0.25">
      <c r="F798" s="8"/>
      <c r="H798" s="8"/>
    </row>
    <row r="799" spans="6:8" x14ac:dyDescent="0.25">
      <c r="F799" s="8"/>
      <c r="H799" s="8"/>
    </row>
    <row r="800" spans="6:8" x14ac:dyDescent="0.25">
      <c r="F800" s="8"/>
      <c r="H800" s="8"/>
    </row>
    <row r="801" spans="6:8" x14ac:dyDescent="0.25">
      <c r="F801" s="8"/>
      <c r="H801" s="8"/>
    </row>
    <row r="802" spans="6:8" x14ac:dyDescent="0.25">
      <c r="F802" s="8"/>
      <c r="H802" s="8"/>
    </row>
    <row r="803" spans="6:8" x14ac:dyDescent="0.25">
      <c r="F803" s="8"/>
      <c r="H803" s="8"/>
    </row>
    <row r="804" spans="6:8" x14ac:dyDescent="0.25">
      <c r="F804" s="8"/>
      <c r="H804" s="8"/>
    </row>
    <row r="805" spans="6:8" x14ac:dyDescent="0.25">
      <c r="F805" s="8"/>
      <c r="H805" s="8"/>
    </row>
    <row r="806" spans="6:8" x14ac:dyDescent="0.25">
      <c r="F806" s="8"/>
      <c r="H806" s="8"/>
    </row>
    <row r="807" spans="6:8" x14ac:dyDescent="0.25">
      <c r="F807" s="8"/>
      <c r="H807" s="8"/>
    </row>
    <row r="808" spans="6:8" x14ac:dyDescent="0.25">
      <c r="F808" s="8"/>
      <c r="H808" s="8"/>
    </row>
    <row r="809" spans="6:8" x14ac:dyDescent="0.25">
      <c r="F809" s="8"/>
      <c r="H809" s="8"/>
    </row>
    <row r="810" spans="6:8" x14ac:dyDescent="0.25">
      <c r="F810" s="8"/>
      <c r="H810" s="8"/>
    </row>
    <row r="811" spans="6:8" x14ac:dyDescent="0.25">
      <c r="F811" s="8"/>
      <c r="H811" s="8"/>
    </row>
    <row r="812" spans="6:8" x14ac:dyDescent="0.25">
      <c r="F812" s="8"/>
      <c r="H812" s="8"/>
    </row>
    <row r="813" spans="6:8" x14ac:dyDescent="0.25">
      <c r="F813" s="8"/>
      <c r="H813" s="8"/>
    </row>
    <row r="814" spans="6:8" x14ac:dyDescent="0.25">
      <c r="F814" s="8"/>
      <c r="H814" s="8"/>
    </row>
    <row r="815" spans="6:8" x14ac:dyDescent="0.25">
      <c r="F815" s="8"/>
      <c r="H815" s="8"/>
    </row>
    <row r="816" spans="6:8" x14ac:dyDescent="0.25">
      <c r="F816" s="8"/>
      <c r="H816" s="8"/>
    </row>
    <row r="817" spans="6:8" x14ac:dyDescent="0.25">
      <c r="F817" s="8"/>
      <c r="H817" s="8"/>
    </row>
    <row r="818" spans="6:8" x14ac:dyDescent="0.25">
      <c r="F818" s="8"/>
      <c r="H818" s="8"/>
    </row>
    <row r="819" spans="6:8" x14ac:dyDescent="0.25">
      <c r="F819" s="8"/>
      <c r="H819" s="8"/>
    </row>
    <row r="820" spans="6:8" x14ac:dyDescent="0.25">
      <c r="F820" s="8"/>
      <c r="H820" s="8"/>
    </row>
    <row r="821" spans="6:8" x14ac:dyDescent="0.25">
      <c r="F821" s="8"/>
      <c r="H821" s="8"/>
    </row>
    <row r="822" spans="6:8" x14ac:dyDescent="0.25">
      <c r="F822" s="8"/>
      <c r="H822" s="8"/>
    </row>
    <row r="823" spans="6:8" x14ac:dyDescent="0.25">
      <c r="F823" s="8"/>
      <c r="H823" s="8"/>
    </row>
    <row r="824" spans="6:8" x14ac:dyDescent="0.25">
      <c r="F824" s="8"/>
      <c r="H824" s="8"/>
    </row>
    <row r="825" spans="6:8" x14ac:dyDescent="0.25">
      <c r="F825" s="8"/>
      <c r="H825" s="8"/>
    </row>
    <row r="826" spans="6:8" x14ac:dyDescent="0.25">
      <c r="F826" s="8"/>
      <c r="H826" s="8"/>
    </row>
    <row r="827" spans="6:8" x14ac:dyDescent="0.25">
      <c r="F827" s="8"/>
      <c r="H827" s="8"/>
    </row>
    <row r="828" spans="6:8" x14ac:dyDescent="0.25">
      <c r="F828" s="8"/>
      <c r="H828" s="8"/>
    </row>
    <row r="829" spans="6:8" x14ac:dyDescent="0.25">
      <c r="F829" s="8"/>
      <c r="H829" s="8"/>
    </row>
    <row r="830" spans="6:8" x14ac:dyDescent="0.25">
      <c r="F830" s="8"/>
      <c r="H830" s="8"/>
    </row>
    <row r="831" spans="6:8" x14ac:dyDescent="0.25">
      <c r="F831" s="8"/>
      <c r="H831" s="8"/>
    </row>
    <row r="832" spans="6:8" x14ac:dyDescent="0.25">
      <c r="F832" s="8"/>
      <c r="H832" s="8"/>
    </row>
    <row r="833" spans="6:8" x14ac:dyDescent="0.25">
      <c r="F833" s="8"/>
      <c r="H833" s="8"/>
    </row>
    <row r="834" spans="6:8" x14ac:dyDescent="0.25">
      <c r="F834" s="8"/>
      <c r="H834" s="8"/>
    </row>
    <row r="835" spans="6:8" x14ac:dyDescent="0.25">
      <c r="F835" s="8"/>
      <c r="H835" s="8"/>
    </row>
    <row r="836" spans="6:8" x14ac:dyDescent="0.25">
      <c r="F836" s="8"/>
      <c r="H836" s="8"/>
    </row>
    <row r="837" spans="6:8" x14ac:dyDescent="0.25">
      <c r="F837" s="8"/>
      <c r="H837" s="8"/>
    </row>
    <row r="838" spans="6:8" x14ac:dyDescent="0.25">
      <c r="F838" s="8"/>
      <c r="H838" s="8"/>
    </row>
    <row r="839" spans="6:8" x14ac:dyDescent="0.25">
      <c r="F839" s="8"/>
      <c r="H839" s="8"/>
    </row>
    <row r="840" spans="6:8" x14ac:dyDescent="0.25">
      <c r="F840" s="8"/>
      <c r="H840" s="8"/>
    </row>
    <row r="841" spans="6:8" x14ac:dyDescent="0.25">
      <c r="F841" s="8"/>
      <c r="H841" s="8"/>
    </row>
    <row r="842" spans="6:8" x14ac:dyDescent="0.25">
      <c r="F842" s="8"/>
      <c r="H842" s="8"/>
    </row>
    <row r="843" spans="6:8" x14ac:dyDescent="0.25">
      <c r="F843" s="8"/>
      <c r="H843" s="8"/>
    </row>
    <row r="844" spans="6:8" x14ac:dyDescent="0.25">
      <c r="F844" s="8"/>
      <c r="H844" s="8"/>
    </row>
    <row r="845" spans="6:8" x14ac:dyDescent="0.25">
      <c r="F845" s="8"/>
      <c r="H845" s="8"/>
    </row>
    <row r="846" spans="6:8" x14ac:dyDescent="0.25">
      <c r="F846" s="8"/>
      <c r="H846" s="8"/>
    </row>
    <row r="847" spans="6:8" x14ac:dyDescent="0.25">
      <c r="F847" s="8"/>
      <c r="H847" s="8"/>
    </row>
    <row r="848" spans="6:8" x14ac:dyDescent="0.25">
      <c r="F848" s="8"/>
      <c r="H848" s="8"/>
    </row>
    <row r="849" spans="6:8" x14ac:dyDescent="0.25">
      <c r="F849" s="8"/>
      <c r="H849" s="8"/>
    </row>
    <row r="850" spans="6:8" x14ac:dyDescent="0.25">
      <c r="F850" s="8"/>
      <c r="H850" s="8"/>
    </row>
    <row r="851" spans="6:8" x14ac:dyDescent="0.25">
      <c r="F851" s="8"/>
      <c r="H851" s="8"/>
    </row>
    <row r="852" spans="6:8" x14ac:dyDescent="0.25">
      <c r="F852" s="8"/>
      <c r="H852" s="8"/>
    </row>
    <row r="853" spans="6:8" x14ac:dyDescent="0.25">
      <c r="F853" s="8"/>
      <c r="H853" s="8"/>
    </row>
    <row r="854" spans="6:8" x14ac:dyDescent="0.25">
      <c r="F854" s="8"/>
      <c r="H854" s="8"/>
    </row>
    <row r="855" spans="6:8" x14ac:dyDescent="0.25">
      <c r="F855" s="8"/>
      <c r="H855" s="8"/>
    </row>
    <row r="856" spans="6:8" x14ac:dyDescent="0.25">
      <c r="F856" s="8"/>
      <c r="H856" s="8"/>
    </row>
    <row r="857" spans="6:8" x14ac:dyDescent="0.25">
      <c r="F857" s="8"/>
      <c r="H857" s="8"/>
    </row>
    <row r="858" spans="6:8" x14ac:dyDescent="0.25">
      <c r="F858" s="8"/>
      <c r="H858" s="8"/>
    </row>
    <row r="859" spans="6:8" x14ac:dyDescent="0.25">
      <c r="F859" s="8"/>
      <c r="H859" s="8"/>
    </row>
    <row r="860" spans="6:8" x14ac:dyDescent="0.25">
      <c r="F860" s="8"/>
      <c r="H860" s="8"/>
    </row>
    <row r="861" spans="6:8" x14ac:dyDescent="0.25">
      <c r="F861" s="8"/>
      <c r="H861" s="8"/>
    </row>
    <row r="862" spans="6:8" x14ac:dyDescent="0.25">
      <c r="F862" s="8"/>
      <c r="H862" s="8"/>
    </row>
    <row r="863" spans="6:8" x14ac:dyDescent="0.25">
      <c r="F863" s="8"/>
      <c r="H863" s="8"/>
    </row>
    <row r="864" spans="6:8" x14ac:dyDescent="0.25">
      <c r="F864" s="8"/>
      <c r="H864" s="8"/>
    </row>
    <row r="865" spans="6:8" x14ac:dyDescent="0.25">
      <c r="F865" s="8"/>
      <c r="H865" s="8"/>
    </row>
    <row r="866" spans="6:8" x14ac:dyDescent="0.25">
      <c r="F866" s="8"/>
      <c r="H866" s="8"/>
    </row>
    <row r="867" spans="6:8" x14ac:dyDescent="0.25">
      <c r="F867" s="8"/>
      <c r="H867" s="8"/>
    </row>
    <row r="868" spans="6:8" x14ac:dyDescent="0.25">
      <c r="F868" s="8"/>
      <c r="H868" s="8"/>
    </row>
    <row r="869" spans="6:8" x14ac:dyDescent="0.25">
      <c r="F869" s="8"/>
      <c r="H869" s="8"/>
    </row>
    <row r="870" spans="6:8" x14ac:dyDescent="0.25">
      <c r="F870" s="8"/>
      <c r="H870" s="8"/>
    </row>
    <row r="871" spans="6:8" x14ac:dyDescent="0.25">
      <c r="F871" s="8"/>
      <c r="H871" s="8"/>
    </row>
    <row r="872" spans="6:8" x14ac:dyDescent="0.25">
      <c r="F872" s="8"/>
      <c r="H872" s="8"/>
    </row>
    <row r="873" spans="6:8" x14ac:dyDescent="0.25">
      <c r="F873" s="8"/>
      <c r="H873" s="8"/>
    </row>
    <row r="874" spans="6:8" x14ac:dyDescent="0.25">
      <c r="F874" s="8"/>
      <c r="H874" s="8"/>
    </row>
    <row r="875" spans="6:8" x14ac:dyDescent="0.25">
      <c r="F875" s="8"/>
      <c r="H875" s="8"/>
    </row>
    <row r="876" spans="6:8" x14ac:dyDescent="0.25">
      <c r="F876" s="8"/>
      <c r="H876" s="8"/>
    </row>
    <row r="877" spans="6:8" x14ac:dyDescent="0.25">
      <c r="F877" s="8"/>
      <c r="H877" s="8"/>
    </row>
    <row r="878" spans="6:8" x14ac:dyDescent="0.25">
      <c r="F878" s="8"/>
      <c r="H878" s="8"/>
    </row>
    <row r="879" spans="6:8" x14ac:dyDescent="0.25">
      <c r="F879" s="8"/>
      <c r="H879" s="8"/>
    </row>
    <row r="880" spans="6:8" x14ac:dyDescent="0.25">
      <c r="F880" s="8"/>
      <c r="H880" s="8"/>
    </row>
    <row r="881" spans="6:8" x14ac:dyDescent="0.25">
      <c r="F881" s="8"/>
      <c r="H881" s="8"/>
    </row>
    <row r="882" spans="6:8" x14ac:dyDescent="0.25">
      <c r="F882" s="8"/>
      <c r="H882" s="8"/>
    </row>
    <row r="883" spans="6:8" x14ac:dyDescent="0.25">
      <c r="F883" s="8"/>
      <c r="H883" s="8"/>
    </row>
    <row r="884" spans="6:8" x14ac:dyDescent="0.25">
      <c r="F884" s="8"/>
      <c r="H884" s="8"/>
    </row>
    <row r="885" spans="6:8" x14ac:dyDescent="0.25">
      <c r="F885" s="8"/>
      <c r="H885" s="8"/>
    </row>
    <row r="886" spans="6:8" x14ac:dyDescent="0.25">
      <c r="F886" s="8"/>
      <c r="H886" s="8"/>
    </row>
    <row r="887" spans="6:8" x14ac:dyDescent="0.25">
      <c r="F887" s="8"/>
      <c r="H887" s="8"/>
    </row>
    <row r="888" spans="6:8" x14ac:dyDescent="0.25">
      <c r="F888" s="8"/>
      <c r="H888" s="8"/>
    </row>
    <row r="889" spans="6:8" x14ac:dyDescent="0.25">
      <c r="F889" s="8"/>
      <c r="H889" s="8"/>
    </row>
    <row r="890" spans="6:8" x14ac:dyDescent="0.25">
      <c r="F890" s="8"/>
      <c r="H890" s="8"/>
    </row>
    <row r="891" spans="6:8" x14ac:dyDescent="0.25">
      <c r="F891" s="8"/>
      <c r="H891" s="8"/>
    </row>
    <row r="892" spans="6:8" x14ac:dyDescent="0.25">
      <c r="F892" s="8"/>
      <c r="H892" s="8"/>
    </row>
    <row r="893" spans="6:8" x14ac:dyDescent="0.25">
      <c r="F893" s="8"/>
      <c r="H893" s="8"/>
    </row>
    <row r="894" spans="6:8" x14ac:dyDescent="0.25">
      <c r="F894" s="8"/>
      <c r="H894" s="8"/>
    </row>
    <row r="895" spans="6:8" x14ac:dyDescent="0.25">
      <c r="F895" s="8"/>
      <c r="H895" s="8"/>
    </row>
    <row r="896" spans="6:8" x14ac:dyDescent="0.25">
      <c r="F896" s="8"/>
      <c r="H896" s="8"/>
    </row>
    <row r="897" spans="6:8" x14ac:dyDescent="0.25">
      <c r="F897" s="8"/>
      <c r="H897" s="8"/>
    </row>
    <row r="898" spans="6:8" x14ac:dyDescent="0.25">
      <c r="F898" s="8"/>
      <c r="H898" s="8"/>
    </row>
    <row r="899" spans="6:8" x14ac:dyDescent="0.25">
      <c r="F899" s="8"/>
      <c r="H899" s="8"/>
    </row>
    <row r="900" spans="6:8" x14ac:dyDescent="0.25">
      <c r="F900" s="8"/>
      <c r="H900" s="8"/>
    </row>
    <row r="901" spans="6:8" x14ac:dyDescent="0.25">
      <c r="F901" s="8"/>
      <c r="H901" s="8"/>
    </row>
    <row r="902" spans="6:8" x14ac:dyDescent="0.25">
      <c r="F902" s="8"/>
      <c r="H902" s="8"/>
    </row>
    <row r="903" spans="6:8" x14ac:dyDescent="0.25">
      <c r="F903" s="8"/>
      <c r="H903" s="8"/>
    </row>
    <row r="904" spans="6:8" x14ac:dyDescent="0.25">
      <c r="F904" s="8"/>
      <c r="H904" s="8"/>
    </row>
    <row r="905" spans="6:8" x14ac:dyDescent="0.25">
      <c r="F905" s="8"/>
      <c r="H905" s="8"/>
    </row>
    <row r="906" spans="6:8" x14ac:dyDescent="0.25">
      <c r="F906" s="8"/>
      <c r="H906" s="8"/>
    </row>
    <row r="907" spans="6:8" x14ac:dyDescent="0.25">
      <c r="F907" s="8"/>
      <c r="H907" s="8"/>
    </row>
    <row r="908" spans="6:8" x14ac:dyDescent="0.25">
      <c r="F908" s="8"/>
      <c r="H908" s="8"/>
    </row>
    <row r="909" spans="6:8" x14ac:dyDescent="0.25">
      <c r="F909" s="8"/>
      <c r="H909" s="8"/>
    </row>
    <row r="910" spans="6:8" x14ac:dyDescent="0.25">
      <c r="F910" s="8"/>
      <c r="H910" s="8"/>
    </row>
    <row r="911" spans="6:8" x14ac:dyDescent="0.25">
      <c r="F911" s="8"/>
      <c r="H911" s="8"/>
    </row>
    <row r="912" spans="6:8" x14ac:dyDescent="0.25">
      <c r="F912" s="8"/>
      <c r="H912" s="8"/>
    </row>
    <row r="913" spans="6:8" x14ac:dyDescent="0.25">
      <c r="F913" s="8"/>
      <c r="H913" s="8"/>
    </row>
    <row r="914" spans="6:8" x14ac:dyDescent="0.25">
      <c r="F914" s="8"/>
      <c r="H914" s="8"/>
    </row>
    <row r="915" spans="6:8" x14ac:dyDescent="0.25">
      <c r="F915" s="8"/>
      <c r="H915" s="8"/>
    </row>
    <row r="916" spans="6:8" x14ac:dyDescent="0.25">
      <c r="F916" s="8"/>
      <c r="H916" s="8"/>
    </row>
    <row r="917" spans="6:8" x14ac:dyDescent="0.25">
      <c r="F917" s="8"/>
      <c r="H917" s="8"/>
    </row>
    <row r="918" spans="6:8" x14ac:dyDescent="0.25">
      <c r="F918" s="8"/>
      <c r="H918" s="8"/>
    </row>
    <row r="919" spans="6:8" x14ac:dyDescent="0.25">
      <c r="F919" s="8"/>
      <c r="H919" s="8"/>
    </row>
    <row r="920" spans="6:8" x14ac:dyDescent="0.25">
      <c r="F920" s="8"/>
      <c r="H920" s="8"/>
    </row>
    <row r="921" spans="6:8" x14ac:dyDescent="0.25">
      <c r="F921" s="8"/>
      <c r="H921" s="8"/>
    </row>
    <row r="922" spans="6:8" x14ac:dyDescent="0.25">
      <c r="F922" s="8"/>
      <c r="H922" s="8"/>
    </row>
    <row r="923" spans="6:8" x14ac:dyDescent="0.25">
      <c r="F923" s="8"/>
      <c r="H923" s="8"/>
    </row>
    <row r="924" spans="6:8" x14ac:dyDescent="0.25">
      <c r="F924" s="8"/>
      <c r="H924" s="8"/>
    </row>
    <row r="925" spans="6:8" x14ac:dyDescent="0.25">
      <c r="F925" s="8"/>
      <c r="H925" s="8"/>
    </row>
    <row r="926" spans="6:8" x14ac:dyDescent="0.25">
      <c r="F926" s="8"/>
      <c r="H926" s="8"/>
    </row>
    <row r="927" spans="6:8" x14ac:dyDescent="0.25">
      <c r="F927" s="8"/>
      <c r="H927" s="8"/>
    </row>
    <row r="928" spans="6:8" x14ac:dyDescent="0.25">
      <c r="F928" s="8"/>
      <c r="H928" s="8"/>
    </row>
    <row r="929" spans="6:8" x14ac:dyDescent="0.25">
      <c r="F929" s="8"/>
      <c r="H929" s="8"/>
    </row>
    <row r="930" spans="6:8" x14ac:dyDescent="0.25">
      <c r="F930" s="8"/>
      <c r="H930" s="8"/>
    </row>
    <row r="931" spans="6:8" x14ac:dyDescent="0.25">
      <c r="F931" s="8"/>
      <c r="H931" s="8"/>
    </row>
    <row r="932" spans="6:8" x14ac:dyDescent="0.25">
      <c r="F932" s="8"/>
      <c r="H932" s="8"/>
    </row>
    <row r="933" spans="6:8" x14ac:dyDescent="0.25">
      <c r="F933" s="8"/>
      <c r="H933" s="8"/>
    </row>
    <row r="934" spans="6:8" x14ac:dyDescent="0.25">
      <c r="F934" s="8"/>
      <c r="H934" s="8"/>
    </row>
    <row r="935" spans="6:8" x14ac:dyDescent="0.25">
      <c r="F935" s="8"/>
      <c r="H935" s="8"/>
    </row>
    <row r="936" spans="6:8" x14ac:dyDescent="0.25">
      <c r="F936" s="8"/>
      <c r="H936" s="8"/>
    </row>
    <row r="937" spans="6:8" x14ac:dyDescent="0.25">
      <c r="F937" s="8"/>
      <c r="H937" s="8"/>
    </row>
    <row r="938" spans="6:8" x14ac:dyDescent="0.25">
      <c r="F938" s="8"/>
      <c r="H938" s="8"/>
    </row>
    <row r="939" spans="6:8" x14ac:dyDescent="0.25">
      <c r="F939" s="8"/>
      <c r="H939" s="8"/>
    </row>
    <row r="940" spans="6:8" x14ac:dyDescent="0.25">
      <c r="F940" s="8"/>
      <c r="H940" s="8"/>
    </row>
    <row r="941" spans="6:8" x14ac:dyDescent="0.25">
      <c r="F941" s="8"/>
      <c r="H941" s="8"/>
    </row>
    <row r="942" spans="6:8" x14ac:dyDescent="0.25">
      <c r="F942" s="8"/>
      <c r="H942" s="8"/>
    </row>
    <row r="943" spans="6:8" x14ac:dyDescent="0.25">
      <c r="F943" s="8"/>
      <c r="H943" s="8"/>
    </row>
    <row r="944" spans="6:8" x14ac:dyDescent="0.25">
      <c r="F944" s="8"/>
      <c r="H944" s="8"/>
    </row>
    <row r="945" spans="6:8" x14ac:dyDescent="0.25">
      <c r="F945" s="8"/>
      <c r="H945" s="8"/>
    </row>
    <row r="946" spans="6:8" x14ac:dyDescent="0.25">
      <c r="F946" s="8"/>
      <c r="H946" s="8"/>
    </row>
    <row r="947" spans="6:8" x14ac:dyDescent="0.25">
      <c r="F947" s="8"/>
      <c r="H947" s="8"/>
    </row>
    <row r="948" spans="6:8" x14ac:dyDescent="0.25">
      <c r="F948" s="8"/>
      <c r="H948" s="8"/>
    </row>
    <row r="949" spans="6:8" x14ac:dyDescent="0.25">
      <c r="F949" s="8"/>
      <c r="H949" s="8"/>
    </row>
    <row r="950" spans="6:8" x14ac:dyDescent="0.25">
      <c r="F950" s="8"/>
      <c r="H950" s="8"/>
    </row>
    <row r="951" spans="6:8" x14ac:dyDescent="0.25">
      <c r="F951" s="8"/>
      <c r="H951" s="8"/>
    </row>
    <row r="952" spans="6:8" x14ac:dyDescent="0.25">
      <c r="F952" s="8"/>
      <c r="H952" s="8"/>
    </row>
    <row r="953" spans="6:8" x14ac:dyDescent="0.25">
      <c r="F953" s="8"/>
      <c r="H953" s="8"/>
    </row>
    <row r="954" spans="6:8" x14ac:dyDescent="0.25">
      <c r="F954" s="8"/>
      <c r="H954" s="8"/>
    </row>
    <row r="955" spans="6:8" x14ac:dyDescent="0.25">
      <c r="F955" s="8"/>
      <c r="H955" s="8"/>
    </row>
    <row r="956" spans="6:8" x14ac:dyDescent="0.25">
      <c r="F956" s="8"/>
      <c r="H956" s="8"/>
    </row>
    <row r="957" spans="6:8" x14ac:dyDescent="0.25">
      <c r="F957" s="8"/>
      <c r="H957" s="8"/>
    </row>
    <row r="958" spans="6:8" x14ac:dyDescent="0.25">
      <c r="F958" s="8"/>
      <c r="H958" s="8"/>
    </row>
    <row r="959" spans="6:8" x14ac:dyDescent="0.25">
      <c r="F959" s="8"/>
      <c r="H959" s="8"/>
    </row>
    <row r="960" spans="6:8" x14ac:dyDescent="0.25">
      <c r="F960" s="8"/>
      <c r="H960" s="8"/>
    </row>
    <row r="961" spans="6:8" x14ac:dyDescent="0.25">
      <c r="F961" s="8"/>
      <c r="H961" s="8"/>
    </row>
    <row r="962" spans="6:8" x14ac:dyDescent="0.25">
      <c r="F962" s="8"/>
      <c r="H962" s="8"/>
    </row>
    <row r="963" spans="6:8" x14ac:dyDescent="0.25">
      <c r="F963" s="8"/>
      <c r="H963" s="8"/>
    </row>
    <row r="964" spans="6:8" x14ac:dyDescent="0.25">
      <c r="F964" s="8"/>
      <c r="H964" s="8"/>
    </row>
    <row r="965" spans="6:8" x14ac:dyDescent="0.25">
      <c r="F965" s="8"/>
      <c r="H965" s="8"/>
    </row>
    <row r="966" spans="6:8" x14ac:dyDescent="0.25">
      <c r="F966" s="8"/>
      <c r="H966" s="8"/>
    </row>
    <row r="967" spans="6:8" x14ac:dyDescent="0.25">
      <c r="F967" s="8"/>
      <c r="H967" s="8"/>
    </row>
    <row r="968" spans="6:8" x14ac:dyDescent="0.25">
      <c r="F968" s="8"/>
      <c r="H968" s="8"/>
    </row>
    <row r="969" spans="6:8" x14ac:dyDescent="0.25">
      <c r="F969" s="8"/>
      <c r="H969" s="8"/>
    </row>
    <row r="970" spans="6:8" x14ac:dyDescent="0.25">
      <c r="F970" s="8"/>
      <c r="H970" s="8"/>
    </row>
    <row r="971" spans="6:8" x14ac:dyDescent="0.25">
      <c r="F971" s="8"/>
      <c r="H971" s="8"/>
    </row>
    <row r="972" spans="6:8" x14ac:dyDescent="0.25">
      <c r="F972" s="8"/>
      <c r="H972" s="8"/>
    </row>
    <row r="973" spans="6:8" x14ac:dyDescent="0.25">
      <c r="F973" s="8"/>
      <c r="H973" s="8"/>
    </row>
    <row r="974" spans="6:8" x14ac:dyDescent="0.25">
      <c r="F974" s="8"/>
      <c r="H974" s="8"/>
    </row>
    <row r="975" spans="6:8" x14ac:dyDescent="0.25">
      <c r="F975" s="8"/>
      <c r="H975" s="8"/>
    </row>
    <row r="976" spans="6:8" x14ac:dyDescent="0.25">
      <c r="F976" s="8"/>
      <c r="H976" s="8"/>
    </row>
    <row r="977" spans="6:8" x14ac:dyDescent="0.25">
      <c r="F977" s="8"/>
      <c r="H977" s="8"/>
    </row>
    <row r="978" spans="6:8" x14ac:dyDescent="0.25">
      <c r="F978" s="8"/>
      <c r="H978" s="8"/>
    </row>
    <row r="979" spans="6:8" x14ac:dyDescent="0.25">
      <c r="F979" s="8"/>
      <c r="H979" s="8"/>
    </row>
    <row r="980" spans="6:8" x14ac:dyDescent="0.25">
      <c r="F980" s="8"/>
      <c r="H980" s="8"/>
    </row>
    <row r="981" spans="6:8" x14ac:dyDescent="0.25">
      <c r="F981" s="8"/>
      <c r="H981" s="8"/>
    </row>
    <row r="982" spans="6:8" x14ac:dyDescent="0.25">
      <c r="F982" s="8"/>
      <c r="H982" s="8"/>
    </row>
    <row r="983" spans="6:8" x14ac:dyDescent="0.25">
      <c r="F983" s="8"/>
      <c r="H983" s="8"/>
    </row>
    <row r="984" spans="6:8" x14ac:dyDescent="0.25">
      <c r="F984" s="8"/>
      <c r="H984" s="8"/>
    </row>
    <row r="985" spans="6:8" x14ac:dyDescent="0.25">
      <c r="F985" s="8"/>
      <c r="H985" s="8"/>
    </row>
    <row r="986" spans="6:8" x14ac:dyDescent="0.25">
      <c r="F986" s="8"/>
      <c r="H986" s="8"/>
    </row>
    <row r="987" spans="6:8" x14ac:dyDescent="0.25">
      <c r="F987" s="8"/>
      <c r="H987" s="8"/>
    </row>
    <row r="988" spans="6:8" x14ac:dyDescent="0.25">
      <c r="F988" s="8"/>
      <c r="H988" s="8"/>
    </row>
    <row r="989" spans="6:8" x14ac:dyDescent="0.25">
      <c r="F989" s="8"/>
      <c r="H989" s="8"/>
    </row>
    <row r="990" spans="6:8" x14ac:dyDescent="0.25">
      <c r="F990" s="8"/>
      <c r="H990" s="8"/>
    </row>
    <row r="991" spans="6:8" x14ac:dyDescent="0.25">
      <c r="F991" s="8"/>
      <c r="H991" s="8"/>
    </row>
    <row r="992" spans="6:8" x14ac:dyDescent="0.25">
      <c r="F992" s="8"/>
      <c r="H992" s="8"/>
    </row>
    <row r="993" spans="6:8" x14ac:dyDescent="0.25">
      <c r="F993" s="8"/>
      <c r="H993" s="8"/>
    </row>
    <row r="994" spans="6:8" x14ac:dyDescent="0.25">
      <c r="F994" s="8"/>
      <c r="H994" s="8"/>
    </row>
    <row r="995" spans="6:8" x14ac:dyDescent="0.25">
      <c r="F995" s="8"/>
      <c r="H995" s="8"/>
    </row>
    <row r="996" spans="6:8" x14ac:dyDescent="0.25">
      <c r="F996" s="8"/>
      <c r="H996" s="8"/>
    </row>
    <row r="997" spans="6:8" x14ac:dyDescent="0.25">
      <c r="F997" s="8"/>
      <c r="H997" s="8"/>
    </row>
    <row r="998" spans="6:8" x14ac:dyDescent="0.25">
      <c r="F998" s="8"/>
      <c r="H998" s="8"/>
    </row>
    <row r="999" spans="6:8" x14ac:dyDescent="0.25">
      <c r="F999" s="8"/>
      <c r="H999" s="8"/>
    </row>
    <row r="1000" spans="6:8" x14ac:dyDescent="0.25">
      <c r="F1000" s="8"/>
      <c r="H1000" s="8"/>
    </row>
    <row r="1001" spans="6:8" x14ac:dyDescent="0.25">
      <c r="F1001" s="8"/>
      <c r="H1001" s="8"/>
    </row>
    <row r="1002" spans="6:8" x14ac:dyDescent="0.25">
      <c r="F1002" s="8"/>
      <c r="H1002" s="8"/>
    </row>
    <row r="1003" spans="6:8" x14ac:dyDescent="0.25">
      <c r="F1003" s="8"/>
      <c r="H1003" s="8"/>
    </row>
    <row r="1004" spans="6:8" x14ac:dyDescent="0.25">
      <c r="F1004" s="8"/>
      <c r="H1004" s="8"/>
    </row>
    <row r="1005" spans="6:8" x14ac:dyDescent="0.25">
      <c r="F1005" s="8"/>
      <c r="H1005" s="8"/>
    </row>
    <row r="1006" spans="6:8" x14ac:dyDescent="0.25">
      <c r="F1006" s="8"/>
      <c r="H1006" s="8"/>
    </row>
    <row r="1007" spans="6:8" x14ac:dyDescent="0.25">
      <c r="F1007" s="8"/>
      <c r="H1007" s="8"/>
    </row>
    <row r="1008" spans="6:8" x14ac:dyDescent="0.25">
      <c r="F1008" s="8"/>
      <c r="H1008" s="8"/>
    </row>
    <row r="1009" spans="6:8" x14ac:dyDescent="0.25">
      <c r="F1009" s="8"/>
      <c r="H1009" s="8"/>
    </row>
    <row r="1010" spans="6:8" x14ac:dyDescent="0.25">
      <c r="F1010" s="8"/>
      <c r="H1010" s="8"/>
    </row>
    <row r="1011" spans="6:8" x14ac:dyDescent="0.25">
      <c r="F1011" s="8"/>
      <c r="H1011" s="8"/>
    </row>
    <row r="1012" spans="6:8" x14ac:dyDescent="0.25">
      <c r="F1012" s="8"/>
      <c r="H1012" s="8"/>
    </row>
    <row r="1013" spans="6:8" x14ac:dyDescent="0.25">
      <c r="F1013" s="8"/>
      <c r="H1013" s="8"/>
    </row>
    <row r="1014" spans="6:8" x14ac:dyDescent="0.25">
      <c r="F1014" s="8"/>
      <c r="H1014" s="8"/>
    </row>
    <row r="1015" spans="6:8" x14ac:dyDescent="0.25">
      <c r="F1015" s="8"/>
      <c r="H1015" s="8"/>
    </row>
    <row r="1016" spans="6:8" x14ac:dyDescent="0.25">
      <c r="F1016" s="8"/>
      <c r="H1016" s="8"/>
    </row>
    <row r="1017" spans="6:8" x14ac:dyDescent="0.25">
      <c r="F1017" s="8"/>
      <c r="H1017" s="8"/>
    </row>
    <row r="1018" spans="6:8" x14ac:dyDescent="0.25">
      <c r="F1018" s="8"/>
      <c r="H1018" s="8"/>
    </row>
    <row r="1019" spans="6:8" x14ac:dyDescent="0.25">
      <c r="F1019" s="8"/>
      <c r="H1019" s="8"/>
    </row>
    <row r="1020" spans="6:8" x14ac:dyDescent="0.25">
      <c r="F1020" s="8"/>
      <c r="H1020" s="8"/>
    </row>
    <row r="1021" spans="6:8" x14ac:dyDescent="0.25">
      <c r="F1021" s="8"/>
      <c r="H1021" s="8"/>
    </row>
    <row r="1022" spans="6:8" x14ac:dyDescent="0.25">
      <c r="F1022" s="8"/>
      <c r="H1022" s="8"/>
    </row>
    <row r="1023" spans="6:8" x14ac:dyDescent="0.25">
      <c r="F1023" s="8"/>
      <c r="H1023" s="8"/>
    </row>
    <row r="1024" spans="6:8" x14ac:dyDescent="0.25">
      <c r="F1024" s="8"/>
      <c r="H1024" s="8"/>
    </row>
    <row r="1025" spans="6:8" x14ac:dyDescent="0.25">
      <c r="F1025" s="8"/>
      <c r="H1025" s="8"/>
    </row>
    <row r="1026" spans="6:8" x14ac:dyDescent="0.25">
      <c r="F1026" s="8"/>
      <c r="H1026" s="8"/>
    </row>
    <row r="1027" spans="6:8" x14ac:dyDescent="0.25">
      <c r="F1027" s="8"/>
      <c r="H1027" s="8"/>
    </row>
    <row r="1028" spans="6:8" x14ac:dyDescent="0.25">
      <c r="F1028" s="8"/>
      <c r="H1028" s="8"/>
    </row>
    <row r="1029" spans="6:8" x14ac:dyDescent="0.25">
      <c r="F1029" s="8"/>
      <c r="H1029" s="8"/>
    </row>
    <row r="1030" spans="6:8" x14ac:dyDescent="0.25">
      <c r="F1030" s="8"/>
      <c r="H1030" s="8"/>
    </row>
    <row r="1031" spans="6:8" x14ac:dyDescent="0.25">
      <c r="F1031" s="8"/>
      <c r="H1031" s="8"/>
    </row>
    <row r="1032" spans="6:8" x14ac:dyDescent="0.25">
      <c r="F1032" s="8"/>
      <c r="H1032" s="8"/>
    </row>
    <row r="1033" spans="6:8" x14ac:dyDescent="0.25">
      <c r="F1033" s="8"/>
      <c r="H1033" s="8"/>
    </row>
    <row r="1034" spans="6:8" x14ac:dyDescent="0.25">
      <c r="F1034" s="8"/>
      <c r="H1034" s="8"/>
    </row>
    <row r="1035" spans="6:8" x14ac:dyDescent="0.25">
      <c r="F1035" s="8"/>
      <c r="H1035" s="8"/>
    </row>
    <row r="1036" spans="6:8" x14ac:dyDescent="0.25">
      <c r="F1036" s="8"/>
      <c r="H1036" s="8"/>
    </row>
    <row r="1037" spans="6:8" x14ac:dyDescent="0.25">
      <c r="F1037" s="8"/>
      <c r="H1037" s="8"/>
    </row>
    <row r="1038" spans="6:8" x14ac:dyDescent="0.25">
      <c r="F1038" s="8"/>
      <c r="H1038" s="8"/>
    </row>
    <row r="1039" spans="6:8" x14ac:dyDescent="0.25">
      <c r="F1039" s="8"/>
      <c r="H1039" s="8"/>
    </row>
    <row r="1040" spans="6:8" x14ac:dyDescent="0.25">
      <c r="F1040" s="8"/>
      <c r="H1040" s="8"/>
    </row>
    <row r="1041" spans="6:8" x14ac:dyDescent="0.25">
      <c r="F1041" s="8"/>
      <c r="H1041" s="8"/>
    </row>
    <row r="1042" spans="6:8" x14ac:dyDescent="0.25">
      <c r="F1042" s="8"/>
      <c r="H1042" s="8"/>
    </row>
    <row r="1043" spans="6:8" x14ac:dyDescent="0.25">
      <c r="F1043" s="8"/>
      <c r="H1043" s="8"/>
    </row>
    <row r="1044" spans="6:8" x14ac:dyDescent="0.25">
      <c r="F1044" s="8"/>
      <c r="H1044" s="8"/>
    </row>
    <row r="1045" spans="6:8" x14ac:dyDescent="0.25">
      <c r="F1045" s="8"/>
      <c r="H1045" s="8"/>
    </row>
    <row r="1046" spans="6:8" x14ac:dyDescent="0.25">
      <c r="F1046" s="8"/>
      <c r="H1046" s="8"/>
    </row>
    <row r="1047" spans="6:8" x14ac:dyDescent="0.25">
      <c r="F1047" s="8"/>
      <c r="H1047" s="8"/>
    </row>
    <row r="1048" spans="6:8" x14ac:dyDescent="0.25">
      <c r="F1048" s="8"/>
      <c r="H1048" s="8"/>
    </row>
    <row r="1049" spans="6:8" x14ac:dyDescent="0.25">
      <c r="F1049" s="8"/>
      <c r="H1049" s="8"/>
    </row>
    <row r="1050" spans="6:8" x14ac:dyDescent="0.25">
      <c r="F1050" s="8"/>
      <c r="H1050" s="8"/>
    </row>
    <row r="1051" spans="6:8" x14ac:dyDescent="0.25">
      <c r="F1051" s="8"/>
      <c r="H1051" s="8"/>
    </row>
    <row r="1052" spans="6:8" x14ac:dyDescent="0.25">
      <c r="F1052" s="8"/>
      <c r="H1052" s="8"/>
    </row>
    <row r="1053" spans="6:8" x14ac:dyDescent="0.25">
      <c r="F1053" s="8"/>
      <c r="H1053" s="8"/>
    </row>
    <row r="1054" spans="6:8" x14ac:dyDescent="0.25">
      <c r="F1054" s="8"/>
      <c r="H1054" s="8"/>
    </row>
    <row r="1055" spans="6:8" x14ac:dyDescent="0.25">
      <c r="F1055" s="8"/>
      <c r="H1055" s="8"/>
    </row>
    <row r="1056" spans="6:8" x14ac:dyDescent="0.25">
      <c r="F1056" s="8"/>
      <c r="H1056" s="8"/>
    </row>
    <row r="1057" spans="6:8" x14ac:dyDescent="0.25">
      <c r="F1057" s="8"/>
      <c r="H1057" s="8"/>
    </row>
    <row r="1058" spans="6:8" x14ac:dyDescent="0.25">
      <c r="F1058" s="8"/>
      <c r="H1058" s="8"/>
    </row>
    <row r="1059" spans="6:8" x14ac:dyDescent="0.25">
      <c r="F1059" s="8"/>
      <c r="H1059" s="8"/>
    </row>
    <row r="1060" spans="6:8" x14ac:dyDescent="0.25">
      <c r="F1060" s="8"/>
      <c r="H1060" s="8"/>
    </row>
    <row r="1061" spans="6:8" x14ac:dyDescent="0.25">
      <c r="F1061" s="8"/>
      <c r="H1061" s="8"/>
    </row>
    <row r="1062" spans="6:8" x14ac:dyDescent="0.25">
      <c r="F1062" s="8"/>
      <c r="H1062" s="8"/>
    </row>
    <row r="1063" spans="6:8" x14ac:dyDescent="0.25">
      <c r="F1063" s="8"/>
      <c r="H1063" s="8"/>
    </row>
    <row r="1064" spans="6:8" x14ac:dyDescent="0.25">
      <c r="F1064" s="8"/>
      <c r="H1064" s="8"/>
    </row>
    <row r="1065" spans="6:8" x14ac:dyDescent="0.25">
      <c r="F1065" s="8"/>
      <c r="H1065" s="8"/>
    </row>
    <row r="1066" spans="6:8" x14ac:dyDescent="0.25">
      <c r="F1066" s="8"/>
      <c r="H1066" s="8"/>
    </row>
    <row r="1067" spans="6:8" x14ac:dyDescent="0.25">
      <c r="F1067" s="8"/>
      <c r="H1067" s="8"/>
    </row>
    <row r="1068" spans="6:8" x14ac:dyDescent="0.25">
      <c r="F1068" s="8"/>
      <c r="H1068" s="8"/>
    </row>
    <row r="1069" spans="6:8" x14ac:dyDescent="0.25">
      <c r="F1069" s="8"/>
      <c r="H1069" s="8"/>
    </row>
    <row r="1070" spans="6:8" x14ac:dyDescent="0.25">
      <c r="F1070" s="8"/>
      <c r="H1070" s="8"/>
    </row>
    <row r="1071" spans="6:8" x14ac:dyDescent="0.25">
      <c r="F1071" s="8"/>
      <c r="H1071" s="8"/>
    </row>
    <row r="1072" spans="6:8" x14ac:dyDescent="0.25">
      <c r="F1072" s="8"/>
      <c r="H1072" s="8"/>
    </row>
    <row r="1073" spans="6:8" x14ac:dyDescent="0.25">
      <c r="F1073" s="8"/>
      <c r="H1073" s="8"/>
    </row>
    <row r="1074" spans="6:8" x14ac:dyDescent="0.25">
      <c r="F1074" s="8"/>
      <c r="H1074" s="8"/>
    </row>
    <row r="1075" spans="6:8" x14ac:dyDescent="0.25">
      <c r="F1075" s="8"/>
      <c r="H1075" s="8"/>
    </row>
    <row r="1076" spans="6:8" x14ac:dyDescent="0.25">
      <c r="F1076" s="8"/>
      <c r="H1076" s="8"/>
    </row>
    <row r="1077" spans="6:8" x14ac:dyDescent="0.25">
      <c r="F1077" s="8"/>
      <c r="H1077" s="8"/>
    </row>
    <row r="1078" spans="6:8" x14ac:dyDescent="0.25">
      <c r="F1078" s="8"/>
      <c r="H1078" s="8"/>
    </row>
    <row r="1079" spans="6:8" x14ac:dyDescent="0.25">
      <c r="F1079" s="8"/>
      <c r="H1079" s="8"/>
    </row>
    <row r="1080" spans="6:8" x14ac:dyDescent="0.25">
      <c r="F1080" s="8"/>
      <c r="H1080" s="8"/>
    </row>
    <row r="1081" spans="6:8" x14ac:dyDescent="0.25">
      <c r="F1081" s="8"/>
      <c r="H1081" s="8"/>
    </row>
    <row r="1082" spans="6:8" x14ac:dyDescent="0.25">
      <c r="F1082" s="8"/>
      <c r="H1082" s="8"/>
    </row>
    <row r="1083" spans="6:8" x14ac:dyDescent="0.25">
      <c r="F1083" s="8"/>
      <c r="H1083" s="8"/>
    </row>
    <row r="1084" spans="6:8" x14ac:dyDescent="0.25">
      <c r="F1084" s="8"/>
      <c r="H1084" s="8"/>
    </row>
    <row r="1085" spans="6:8" x14ac:dyDescent="0.25">
      <c r="F1085" s="8"/>
      <c r="H1085" s="8"/>
    </row>
    <row r="1086" spans="6:8" x14ac:dyDescent="0.25">
      <c r="F1086" s="8"/>
      <c r="H1086" s="8"/>
    </row>
    <row r="1087" spans="6:8" x14ac:dyDescent="0.25">
      <c r="F1087" s="8"/>
      <c r="H1087" s="8"/>
    </row>
    <row r="1088" spans="6:8" x14ac:dyDescent="0.25">
      <c r="F1088" s="8"/>
      <c r="H1088" s="8"/>
    </row>
    <row r="1089" spans="6:8" x14ac:dyDescent="0.25">
      <c r="F1089" s="8"/>
      <c r="H1089" s="8"/>
    </row>
    <row r="1090" spans="6:8" x14ac:dyDescent="0.25">
      <c r="F1090" s="8"/>
      <c r="H1090" s="8"/>
    </row>
    <row r="1091" spans="6:8" x14ac:dyDescent="0.25">
      <c r="F1091" s="8"/>
      <c r="H1091" s="8"/>
    </row>
    <row r="1092" spans="6:8" x14ac:dyDescent="0.25">
      <c r="F1092" s="8"/>
      <c r="H1092" s="8"/>
    </row>
    <row r="1093" spans="6:8" x14ac:dyDescent="0.25">
      <c r="F1093" s="8"/>
      <c r="H1093" s="8"/>
    </row>
    <row r="1094" spans="6:8" x14ac:dyDescent="0.25">
      <c r="F1094" s="8"/>
      <c r="H1094" s="8"/>
    </row>
    <row r="1095" spans="6:8" x14ac:dyDescent="0.25">
      <c r="F1095" s="8"/>
      <c r="H1095" s="8"/>
    </row>
    <row r="1096" spans="6:8" x14ac:dyDescent="0.25">
      <c r="F1096" s="8"/>
      <c r="H1096" s="8"/>
    </row>
    <row r="1097" spans="6:8" x14ac:dyDescent="0.25">
      <c r="F1097" s="8"/>
      <c r="H1097" s="8"/>
    </row>
    <row r="1098" spans="6:8" x14ac:dyDescent="0.25">
      <c r="F1098" s="8"/>
      <c r="H1098" s="8"/>
    </row>
    <row r="1099" spans="6:8" x14ac:dyDescent="0.25">
      <c r="F1099" s="8"/>
      <c r="H1099" s="8"/>
    </row>
    <row r="1100" spans="6:8" x14ac:dyDescent="0.25">
      <c r="F1100" s="8"/>
      <c r="H1100" s="8"/>
    </row>
    <row r="1101" spans="6:8" x14ac:dyDescent="0.25">
      <c r="F1101" s="8"/>
      <c r="H1101" s="8"/>
    </row>
    <row r="1102" spans="6:8" x14ac:dyDescent="0.25">
      <c r="F1102" s="8"/>
      <c r="H1102" s="8"/>
    </row>
    <row r="1103" spans="6:8" x14ac:dyDescent="0.25">
      <c r="F1103" s="8"/>
      <c r="H1103" s="8"/>
    </row>
    <row r="1104" spans="6:8" x14ac:dyDescent="0.25">
      <c r="F1104" s="8"/>
      <c r="H1104" s="8"/>
    </row>
    <row r="1105" spans="6:8" x14ac:dyDescent="0.25">
      <c r="F1105" s="8"/>
      <c r="H1105" s="8"/>
    </row>
    <row r="1106" spans="6:8" x14ac:dyDescent="0.25">
      <c r="F1106" s="8"/>
      <c r="H1106" s="8"/>
    </row>
    <row r="1107" spans="6:8" x14ac:dyDescent="0.25">
      <c r="F1107" s="8"/>
      <c r="H1107" s="8"/>
    </row>
    <row r="1108" spans="6:8" x14ac:dyDescent="0.25">
      <c r="F1108" s="8"/>
      <c r="H1108" s="8"/>
    </row>
    <row r="1109" spans="6:8" x14ac:dyDescent="0.25">
      <c r="F1109" s="8"/>
      <c r="H1109" s="8"/>
    </row>
    <row r="1110" spans="6:8" x14ac:dyDescent="0.25">
      <c r="F1110" s="8"/>
      <c r="H1110" s="8"/>
    </row>
    <row r="1111" spans="6:8" x14ac:dyDescent="0.25">
      <c r="F1111" s="8"/>
      <c r="H1111" s="8"/>
    </row>
    <row r="1112" spans="6:8" x14ac:dyDescent="0.25">
      <c r="F1112" s="8"/>
      <c r="H1112" s="8"/>
    </row>
    <row r="1113" spans="6:8" x14ac:dyDescent="0.25">
      <c r="F1113" s="8"/>
      <c r="H1113" s="8"/>
    </row>
    <row r="1114" spans="6:8" x14ac:dyDescent="0.25">
      <c r="F1114" s="8"/>
      <c r="H1114" s="8"/>
    </row>
    <row r="1115" spans="6:8" x14ac:dyDescent="0.25">
      <c r="F1115" s="8"/>
      <c r="H1115" s="8"/>
    </row>
    <row r="1116" spans="6:8" x14ac:dyDescent="0.25">
      <c r="F1116" s="8"/>
      <c r="H1116" s="8"/>
    </row>
    <row r="1117" spans="6:8" x14ac:dyDescent="0.25">
      <c r="F1117" s="8"/>
      <c r="H1117" s="8"/>
    </row>
    <row r="1118" spans="6:8" x14ac:dyDescent="0.25">
      <c r="F1118" s="8"/>
      <c r="H1118" s="8"/>
    </row>
    <row r="1119" spans="6:8" x14ac:dyDescent="0.25">
      <c r="F1119" s="8"/>
      <c r="H1119" s="8"/>
    </row>
    <row r="1120" spans="6:8" x14ac:dyDescent="0.25">
      <c r="F1120" s="8"/>
      <c r="H1120" s="8"/>
    </row>
    <row r="1121" spans="6:8" x14ac:dyDescent="0.25">
      <c r="F1121" s="8"/>
      <c r="H1121" s="8"/>
    </row>
    <row r="1122" spans="6:8" x14ac:dyDescent="0.25">
      <c r="F1122" s="8"/>
      <c r="H1122" s="8"/>
    </row>
    <row r="1123" spans="6:8" x14ac:dyDescent="0.25">
      <c r="F1123" s="8"/>
      <c r="H1123" s="8"/>
    </row>
    <row r="1124" spans="6:8" x14ac:dyDescent="0.25">
      <c r="F1124" s="8"/>
      <c r="H1124" s="8"/>
    </row>
    <row r="1125" spans="6:8" x14ac:dyDescent="0.25">
      <c r="F1125" s="8"/>
      <c r="H1125" s="8"/>
    </row>
    <row r="1126" spans="6:8" x14ac:dyDescent="0.25">
      <c r="F1126" s="8"/>
      <c r="H1126" s="8"/>
    </row>
    <row r="1127" spans="6:8" x14ac:dyDescent="0.25">
      <c r="F1127" s="8"/>
      <c r="H1127" s="8"/>
    </row>
    <row r="1128" spans="6:8" x14ac:dyDescent="0.25">
      <c r="F1128" s="8"/>
      <c r="H1128" s="8"/>
    </row>
    <row r="1129" spans="6:8" x14ac:dyDescent="0.25">
      <c r="F1129" s="8"/>
      <c r="H1129" s="8"/>
    </row>
    <row r="1130" spans="6:8" x14ac:dyDescent="0.25">
      <c r="F1130" s="8"/>
      <c r="H1130" s="8"/>
    </row>
    <row r="1131" spans="6:8" x14ac:dyDescent="0.25">
      <c r="F1131" s="8"/>
      <c r="H1131" s="8"/>
    </row>
    <row r="1132" spans="6:8" x14ac:dyDescent="0.25">
      <c r="F1132" s="8"/>
      <c r="H1132" s="8"/>
    </row>
    <row r="1133" spans="6:8" x14ac:dyDescent="0.25">
      <c r="F1133" s="8"/>
      <c r="H1133" s="8"/>
    </row>
    <row r="1134" spans="6:8" x14ac:dyDescent="0.25">
      <c r="F1134" s="8"/>
      <c r="H1134" s="8"/>
    </row>
    <row r="1135" spans="6:8" x14ac:dyDescent="0.25">
      <c r="F1135" s="8"/>
      <c r="H1135" s="8"/>
    </row>
    <row r="1136" spans="6:8" x14ac:dyDescent="0.25">
      <c r="F1136" s="8"/>
      <c r="H1136" s="8"/>
    </row>
    <row r="1137" spans="6:8" x14ac:dyDescent="0.25">
      <c r="F1137" s="8"/>
      <c r="H1137" s="8"/>
    </row>
    <row r="1138" spans="6:8" x14ac:dyDescent="0.25">
      <c r="F1138" s="8"/>
      <c r="H1138" s="8"/>
    </row>
    <row r="1139" spans="6:8" x14ac:dyDescent="0.25">
      <c r="F1139" s="8"/>
      <c r="H1139" s="8"/>
    </row>
    <row r="1140" spans="6:8" x14ac:dyDescent="0.25">
      <c r="F1140" s="8"/>
      <c r="H1140" s="8"/>
    </row>
    <row r="1141" spans="6:8" x14ac:dyDescent="0.25">
      <c r="F1141" s="8"/>
      <c r="H1141" s="8"/>
    </row>
    <row r="1142" spans="6:8" x14ac:dyDescent="0.25">
      <c r="F1142" s="8"/>
      <c r="H1142" s="8"/>
    </row>
    <row r="1143" spans="6:8" x14ac:dyDescent="0.25">
      <c r="F1143" s="8"/>
      <c r="H1143" s="8"/>
    </row>
    <row r="1144" spans="6:8" x14ac:dyDescent="0.25">
      <c r="F1144" s="8"/>
      <c r="H1144" s="8"/>
    </row>
    <row r="1145" spans="6:8" x14ac:dyDescent="0.25">
      <c r="F1145" s="8"/>
      <c r="H1145" s="8"/>
    </row>
    <row r="1146" spans="6:8" x14ac:dyDescent="0.25">
      <c r="F1146" s="8"/>
      <c r="H1146" s="8"/>
    </row>
    <row r="1147" spans="6:8" x14ac:dyDescent="0.25">
      <c r="F1147" s="8"/>
      <c r="H1147" s="8"/>
    </row>
    <row r="1148" spans="6:8" x14ac:dyDescent="0.25">
      <c r="F1148" s="8"/>
      <c r="H1148" s="8"/>
    </row>
    <row r="1149" spans="6:8" x14ac:dyDescent="0.25">
      <c r="F1149" s="8"/>
      <c r="H1149" s="8"/>
    </row>
    <row r="1150" spans="6:8" x14ac:dyDescent="0.25">
      <c r="F1150" s="8"/>
      <c r="H1150" s="8"/>
    </row>
    <row r="1151" spans="6:8" x14ac:dyDescent="0.25">
      <c r="F1151" s="8"/>
      <c r="H1151" s="8"/>
    </row>
    <row r="1152" spans="6:8" x14ac:dyDescent="0.25">
      <c r="F1152" s="8"/>
      <c r="H1152" s="8"/>
    </row>
    <row r="1153" spans="6:8" x14ac:dyDescent="0.25">
      <c r="F1153" s="8"/>
      <c r="H1153" s="8"/>
    </row>
    <row r="1154" spans="6:8" x14ac:dyDescent="0.25">
      <c r="F1154" s="8"/>
      <c r="H1154" s="8"/>
    </row>
    <row r="1155" spans="6:8" x14ac:dyDescent="0.25">
      <c r="F1155" s="8"/>
      <c r="H1155" s="8"/>
    </row>
    <row r="1156" spans="6:8" x14ac:dyDescent="0.25">
      <c r="F1156" s="8"/>
      <c r="H1156" s="8"/>
    </row>
    <row r="1157" spans="6:8" x14ac:dyDescent="0.25">
      <c r="F1157" s="8"/>
      <c r="H1157" s="8"/>
    </row>
    <row r="1158" spans="6:8" x14ac:dyDescent="0.25">
      <c r="F1158" s="8"/>
      <c r="H1158" s="8"/>
    </row>
    <row r="1159" spans="6:8" x14ac:dyDescent="0.25">
      <c r="F1159" s="8"/>
      <c r="H1159" s="8"/>
    </row>
    <row r="1160" spans="6:8" x14ac:dyDescent="0.25">
      <c r="F1160" s="8"/>
      <c r="H1160" s="8"/>
    </row>
    <row r="1161" spans="6:8" x14ac:dyDescent="0.25">
      <c r="F1161" s="8"/>
      <c r="H1161" s="8"/>
    </row>
    <row r="1162" spans="6:8" x14ac:dyDescent="0.25">
      <c r="F1162" s="8"/>
      <c r="H1162" s="8"/>
    </row>
    <row r="1163" spans="6:8" x14ac:dyDescent="0.25">
      <c r="F1163" s="8"/>
      <c r="H1163" s="8"/>
    </row>
    <row r="1164" spans="6:8" x14ac:dyDescent="0.25">
      <c r="F1164" s="8"/>
      <c r="H1164" s="8"/>
    </row>
    <row r="1165" spans="6:8" x14ac:dyDescent="0.25">
      <c r="F1165" s="8"/>
      <c r="H1165" s="8"/>
    </row>
    <row r="1166" spans="6:8" x14ac:dyDescent="0.25">
      <c r="F1166" s="8"/>
      <c r="H1166" s="8"/>
    </row>
    <row r="1167" spans="6:8" x14ac:dyDescent="0.25">
      <c r="F1167" s="8"/>
      <c r="H1167" s="8"/>
    </row>
    <row r="1168" spans="6:8" x14ac:dyDescent="0.25">
      <c r="F1168" s="8"/>
      <c r="H1168" s="8"/>
    </row>
    <row r="1169" spans="6:8" x14ac:dyDescent="0.25">
      <c r="F1169" s="8"/>
      <c r="H1169" s="8"/>
    </row>
    <row r="1170" spans="6:8" x14ac:dyDescent="0.25">
      <c r="F1170" s="8"/>
      <c r="H1170" s="8"/>
    </row>
    <row r="1171" spans="6:8" x14ac:dyDescent="0.25">
      <c r="F1171" s="8"/>
      <c r="H1171" s="8"/>
    </row>
    <row r="1172" spans="6:8" x14ac:dyDescent="0.25">
      <c r="F1172" s="8"/>
      <c r="H1172" s="8"/>
    </row>
    <row r="1173" spans="6:8" x14ac:dyDescent="0.25">
      <c r="F1173" s="8"/>
      <c r="H1173" s="8"/>
    </row>
    <row r="1174" spans="6:8" x14ac:dyDescent="0.25">
      <c r="F1174" s="8"/>
      <c r="H1174" s="8"/>
    </row>
    <row r="1175" spans="6:8" x14ac:dyDescent="0.25">
      <c r="F1175" s="8"/>
      <c r="H1175" s="8"/>
    </row>
    <row r="1176" spans="6:8" x14ac:dyDescent="0.25">
      <c r="F1176" s="8"/>
      <c r="H1176" s="8"/>
    </row>
    <row r="1177" spans="6:8" x14ac:dyDescent="0.25">
      <c r="F1177" s="8"/>
      <c r="H1177" s="8"/>
    </row>
    <row r="1178" spans="6:8" x14ac:dyDescent="0.25">
      <c r="F1178" s="8"/>
      <c r="H1178" s="8"/>
    </row>
    <row r="1179" spans="6:8" x14ac:dyDescent="0.25">
      <c r="F1179" s="8"/>
      <c r="H1179" s="8"/>
    </row>
    <row r="1180" spans="6:8" x14ac:dyDescent="0.25">
      <c r="F1180" s="8"/>
      <c r="H1180" s="8"/>
    </row>
    <row r="1181" spans="6:8" x14ac:dyDescent="0.25">
      <c r="F1181" s="8"/>
      <c r="H1181" s="8"/>
    </row>
    <row r="1182" spans="6:8" x14ac:dyDescent="0.25">
      <c r="F1182" s="8"/>
      <c r="H1182" s="8"/>
    </row>
    <row r="1183" spans="6:8" x14ac:dyDescent="0.25">
      <c r="F1183" s="8"/>
      <c r="H1183" s="8"/>
    </row>
    <row r="1184" spans="6:8" x14ac:dyDescent="0.25">
      <c r="F1184" s="8"/>
      <c r="H1184" s="8"/>
    </row>
    <row r="1185" spans="6:8" x14ac:dyDescent="0.25">
      <c r="F1185" s="8"/>
      <c r="H1185" s="8"/>
    </row>
    <row r="1186" spans="6:8" x14ac:dyDescent="0.25">
      <c r="F1186" s="8"/>
      <c r="H1186" s="8"/>
    </row>
    <row r="1187" spans="6:8" x14ac:dyDescent="0.25">
      <c r="F1187" s="8"/>
      <c r="H1187" s="8"/>
    </row>
    <row r="1188" spans="6:8" x14ac:dyDescent="0.25">
      <c r="F1188" s="8"/>
      <c r="H1188" s="8"/>
    </row>
    <row r="1189" spans="6:8" x14ac:dyDescent="0.25">
      <c r="F1189" s="8"/>
      <c r="H1189" s="8"/>
    </row>
    <row r="1190" spans="6:8" x14ac:dyDescent="0.25">
      <c r="F1190" s="8"/>
      <c r="H1190" s="8"/>
    </row>
    <row r="1191" spans="6:8" x14ac:dyDescent="0.25">
      <c r="F1191" s="8"/>
      <c r="H1191" s="8"/>
    </row>
    <row r="1192" spans="6:8" x14ac:dyDescent="0.25">
      <c r="F1192" s="8"/>
      <c r="H1192" s="8"/>
    </row>
    <row r="1193" spans="6:8" x14ac:dyDescent="0.25">
      <c r="F1193" s="8"/>
      <c r="H1193" s="8"/>
    </row>
    <row r="1194" spans="6:8" x14ac:dyDescent="0.25">
      <c r="F1194" s="8"/>
      <c r="H1194" s="8"/>
    </row>
    <row r="1195" spans="6:8" x14ac:dyDescent="0.25">
      <c r="F1195" s="8"/>
      <c r="H1195" s="8"/>
    </row>
    <row r="1196" spans="6:8" x14ac:dyDescent="0.25">
      <c r="F1196" s="8"/>
      <c r="H1196" s="8"/>
    </row>
    <row r="1197" spans="6:8" x14ac:dyDescent="0.25">
      <c r="F1197" s="8"/>
      <c r="H1197" s="8"/>
    </row>
    <row r="1198" spans="6:8" x14ac:dyDescent="0.25">
      <c r="F1198" s="8"/>
      <c r="H1198" s="8"/>
    </row>
    <row r="1199" spans="6:8" x14ac:dyDescent="0.25">
      <c r="F1199" s="8"/>
      <c r="H1199" s="8"/>
    </row>
    <row r="1200" spans="6:8" x14ac:dyDescent="0.25">
      <c r="F1200" s="8"/>
      <c r="H1200" s="8"/>
    </row>
    <row r="1201" spans="6:8" x14ac:dyDescent="0.25">
      <c r="F1201" s="8"/>
      <c r="H1201" s="8"/>
    </row>
    <row r="1202" spans="6:8" x14ac:dyDescent="0.25">
      <c r="F1202" s="8"/>
      <c r="H1202" s="8"/>
    </row>
    <row r="1203" spans="6:8" x14ac:dyDescent="0.25">
      <c r="F1203" s="8"/>
      <c r="H1203" s="8"/>
    </row>
    <row r="1204" spans="6:8" x14ac:dyDescent="0.25">
      <c r="F1204" s="8"/>
      <c r="H1204" s="8"/>
    </row>
    <row r="1205" spans="6:8" x14ac:dyDescent="0.25">
      <c r="F1205" s="8"/>
      <c r="H1205" s="8"/>
    </row>
    <row r="1206" spans="6:8" x14ac:dyDescent="0.25">
      <c r="F1206" s="8"/>
      <c r="H1206" s="8"/>
    </row>
    <row r="1207" spans="6:8" x14ac:dyDescent="0.25">
      <c r="F1207" s="8"/>
      <c r="H1207" s="8"/>
    </row>
    <row r="1208" spans="6:8" x14ac:dyDescent="0.25">
      <c r="F1208" s="8"/>
      <c r="H1208" s="8"/>
    </row>
    <row r="1209" spans="6:8" x14ac:dyDescent="0.25">
      <c r="F1209" s="8"/>
      <c r="H1209" s="8"/>
    </row>
    <row r="1210" spans="6:8" x14ac:dyDescent="0.25">
      <c r="F1210" s="8"/>
      <c r="H1210" s="8"/>
    </row>
    <row r="1211" spans="6:8" x14ac:dyDescent="0.25">
      <c r="F1211" s="8"/>
      <c r="H1211" s="8"/>
    </row>
    <row r="1212" spans="6:8" x14ac:dyDescent="0.25">
      <c r="F1212" s="8"/>
      <c r="H1212" s="8"/>
    </row>
    <row r="1213" spans="6:8" x14ac:dyDescent="0.25">
      <c r="F1213" s="8"/>
      <c r="H1213" s="8"/>
    </row>
    <row r="1214" spans="6:8" x14ac:dyDescent="0.25">
      <c r="F1214" s="8"/>
      <c r="H1214" s="8"/>
    </row>
    <row r="1215" spans="6:8" x14ac:dyDescent="0.25">
      <c r="F1215" s="8"/>
      <c r="H1215" s="8"/>
    </row>
    <row r="1216" spans="6:8" x14ac:dyDescent="0.25">
      <c r="F1216" s="8"/>
      <c r="H1216" s="8"/>
    </row>
    <row r="1217" spans="6:8" x14ac:dyDescent="0.25">
      <c r="F1217" s="8"/>
      <c r="H1217" s="8"/>
    </row>
    <row r="1218" spans="6:8" x14ac:dyDescent="0.25">
      <c r="F1218" s="8"/>
      <c r="H1218" s="8"/>
    </row>
    <row r="1219" spans="6:8" x14ac:dyDescent="0.25">
      <c r="F1219" s="8"/>
      <c r="H1219" s="8"/>
    </row>
    <row r="1220" spans="6:8" x14ac:dyDescent="0.25">
      <c r="F1220" s="8"/>
      <c r="H1220" s="8"/>
    </row>
    <row r="1221" spans="6:8" x14ac:dyDescent="0.25">
      <c r="F1221" s="8"/>
      <c r="H1221" s="8"/>
    </row>
    <row r="1222" spans="6:8" x14ac:dyDescent="0.25">
      <c r="F1222" s="8"/>
      <c r="H1222" s="8"/>
    </row>
    <row r="1223" spans="6:8" x14ac:dyDescent="0.25">
      <c r="F1223" s="8"/>
      <c r="H1223" s="8"/>
    </row>
    <row r="1224" spans="6:8" x14ac:dyDescent="0.25">
      <c r="F1224" s="8"/>
      <c r="H1224" s="8"/>
    </row>
    <row r="1225" spans="6:8" x14ac:dyDescent="0.25">
      <c r="F1225" s="8"/>
      <c r="H1225" s="8"/>
    </row>
    <row r="1226" spans="6:8" x14ac:dyDescent="0.25">
      <c r="F1226" s="8"/>
      <c r="H1226" s="8"/>
    </row>
    <row r="1227" spans="6:8" x14ac:dyDescent="0.25">
      <c r="F1227" s="8"/>
      <c r="H1227" s="8"/>
    </row>
    <row r="1228" spans="6:8" x14ac:dyDescent="0.25">
      <c r="F1228" s="8"/>
      <c r="H1228" s="8"/>
    </row>
    <row r="1229" spans="6:8" x14ac:dyDescent="0.25">
      <c r="F1229" s="8"/>
      <c r="H1229" s="8"/>
    </row>
    <row r="1230" spans="6:8" x14ac:dyDescent="0.25">
      <c r="F1230" s="8"/>
      <c r="H1230" s="8"/>
    </row>
    <row r="1231" spans="6:8" x14ac:dyDescent="0.25">
      <c r="F1231" s="8"/>
      <c r="H1231" s="8"/>
    </row>
    <row r="1232" spans="6:8" x14ac:dyDescent="0.25">
      <c r="F1232" s="8"/>
      <c r="H1232" s="8"/>
    </row>
    <row r="1233" spans="6:8" x14ac:dyDescent="0.25">
      <c r="F1233" s="8"/>
      <c r="H1233" s="8"/>
    </row>
    <row r="1234" spans="6:8" x14ac:dyDescent="0.25">
      <c r="F1234" s="8"/>
      <c r="H1234" s="8"/>
    </row>
    <row r="1235" spans="6:8" x14ac:dyDescent="0.25">
      <c r="F1235" s="8"/>
      <c r="H1235" s="8"/>
    </row>
    <row r="1236" spans="6:8" x14ac:dyDescent="0.25">
      <c r="F1236" s="8"/>
      <c r="H1236" s="8"/>
    </row>
    <row r="1237" spans="6:8" x14ac:dyDescent="0.25">
      <c r="F1237" s="8"/>
      <c r="H1237" s="8"/>
    </row>
    <row r="1238" spans="6:8" x14ac:dyDescent="0.25">
      <c r="F1238" s="8"/>
      <c r="H1238" s="8"/>
    </row>
    <row r="1239" spans="6:8" x14ac:dyDescent="0.25">
      <c r="F1239" s="8"/>
      <c r="H1239" s="8"/>
    </row>
    <row r="1240" spans="6:8" x14ac:dyDescent="0.25">
      <c r="F1240" s="8"/>
      <c r="H1240" s="8"/>
    </row>
    <row r="1241" spans="6:8" x14ac:dyDescent="0.25">
      <c r="F1241" s="8"/>
      <c r="H1241" s="8"/>
    </row>
    <row r="1242" spans="6:8" x14ac:dyDescent="0.25">
      <c r="F1242" s="8"/>
      <c r="H1242" s="8"/>
    </row>
    <row r="1243" spans="6:8" x14ac:dyDescent="0.25">
      <c r="F1243" s="8"/>
      <c r="H1243" s="8"/>
    </row>
    <row r="1244" spans="6:8" x14ac:dyDescent="0.25">
      <c r="F1244" s="8"/>
      <c r="H1244" s="8"/>
    </row>
    <row r="1245" spans="6:8" x14ac:dyDescent="0.25">
      <c r="F1245" s="8"/>
      <c r="H1245" s="8"/>
    </row>
    <row r="1246" spans="6:8" x14ac:dyDescent="0.25">
      <c r="F1246" s="8"/>
      <c r="H1246" s="8"/>
    </row>
    <row r="1247" spans="6:8" x14ac:dyDescent="0.25">
      <c r="F1247" s="8"/>
      <c r="H1247" s="8"/>
    </row>
    <row r="1248" spans="6:8" x14ac:dyDescent="0.25">
      <c r="F1248" s="8"/>
      <c r="H1248" s="8"/>
    </row>
    <row r="1249" spans="6:8" x14ac:dyDescent="0.25">
      <c r="F1249" s="8"/>
      <c r="H1249" s="8"/>
    </row>
    <row r="1250" spans="6:8" x14ac:dyDescent="0.25">
      <c r="F1250" s="8"/>
      <c r="H1250" s="8"/>
    </row>
    <row r="1251" spans="6:8" x14ac:dyDescent="0.25">
      <c r="F1251" s="8"/>
      <c r="H1251" s="8"/>
    </row>
    <row r="1252" spans="6:8" x14ac:dyDescent="0.25">
      <c r="F1252" s="8"/>
      <c r="H1252" s="8"/>
    </row>
    <row r="1253" spans="6:8" x14ac:dyDescent="0.25">
      <c r="F1253" s="8"/>
      <c r="H1253" s="8"/>
    </row>
    <row r="1254" spans="6:8" x14ac:dyDescent="0.25">
      <c r="F1254" s="8"/>
      <c r="H1254" s="8"/>
    </row>
    <row r="1255" spans="6:8" x14ac:dyDescent="0.25">
      <c r="F1255" s="8"/>
      <c r="H1255" s="8"/>
    </row>
    <row r="1256" spans="6:8" x14ac:dyDescent="0.25">
      <c r="F1256" s="8"/>
      <c r="H1256" s="8"/>
    </row>
    <row r="1257" spans="6:8" x14ac:dyDescent="0.25">
      <c r="F1257" s="8"/>
      <c r="H1257" s="8"/>
    </row>
    <row r="1258" spans="6:8" x14ac:dyDescent="0.25">
      <c r="F1258" s="8"/>
      <c r="H1258" s="8"/>
    </row>
    <row r="1259" spans="6:8" x14ac:dyDescent="0.25">
      <c r="F1259" s="8"/>
      <c r="H1259" s="8"/>
    </row>
    <row r="1260" spans="6:8" x14ac:dyDescent="0.25">
      <c r="F1260" s="8"/>
      <c r="H1260" s="8"/>
    </row>
    <row r="1261" spans="6:8" x14ac:dyDescent="0.25">
      <c r="F1261" s="8"/>
      <c r="H1261" s="8"/>
    </row>
    <row r="1262" spans="6:8" x14ac:dyDescent="0.25">
      <c r="F1262" s="8"/>
      <c r="H1262" s="8"/>
    </row>
    <row r="1263" spans="6:8" x14ac:dyDescent="0.25">
      <c r="F1263" s="8"/>
      <c r="H1263" s="8"/>
    </row>
    <row r="1264" spans="6:8" x14ac:dyDescent="0.25">
      <c r="F1264" s="8"/>
      <c r="H1264" s="8"/>
    </row>
    <row r="1265" spans="6:8" x14ac:dyDescent="0.25">
      <c r="F1265" s="8"/>
      <c r="H1265" s="8"/>
    </row>
    <row r="1266" spans="6:8" x14ac:dyDescent="0.25">
      <c r="F1266" s="8"/>
      <c r="H1266" s="8"/>
    </row>
    <row r="1267" spans="6:8" x14ac:dyDescent="0.25">
      <c r="F1267" s="8"/>
      <c r="H1267" s="8"/>
    </row>
    <row r="1268" spans="6:8" x14ac:dyDescent="0.25">
      <c r="F1268" s="8"/>
      <c r="H1268" s="8"/>
    </row>
    <row r="1269" spans="6:8" x14ac:dyDescent="0.25">
      <c r="F1269" s="8"/>
      <c r="H1269" s="8"/>
    </row>
    <row r="1270" spans="6:8" x14ac:dyDescent="0.25">
      <c r="F1270" s="8"/>
      <c r="H1270" s="8"/>
    </row>
    <row r="1271" spans="6:8" x14ac:dyDescent="0.25">
      <c r="F1271" s="8"/>
      <c r="H1271" s="8"/>
    </row>
    <row r="1272" spans="6:8" x14ac:dyDescent="0.25">
      <c r="F1272" s="8"/>
      <c r="H1272" s="8"/>
    </row>
    <row r="1273" spans="6:8" x14ac:dyDescent="0.25">
      <c r="F1273" s="8"/>
      <c r="H1273" s="8"/>
    </row>
    <row r="1274" spans="6:8" x14ac:dyDescent="0.25">
      <c r="F1274" s="8"/>
      <c r="H1274" s="8"/>
    </row>
    <row r="1275" spans="6:8" x14ac:dyDescent="0.25">
      <c r="F1275" s="8"/>
      <c r="H1275" s="8"/>
    </row>
    <row r="1276" spans="6:8" x14ac:dyDescent="0.25">
      <c r="F1276" s="8"/>
      <c r="H1276" s="8"/>
    </row>
    <row r="1277" spans="6:8" x14ac:dyDescent="0.25">
      <c r="F1277" s="8"/>
      <c r="H1277" s="8"/>
    </row>
    <row r="1278" spans="6:8" x14ac:dyDescent="0.25">
      <c r="F1278" s="8"/>
      <c r="H1278" s="8"/>
    </row>
    <row r="1279" spans="6:8" x14ac:dyDescent="0.25">
      <c r="F1279" s="8"/>
      <c r="H1279" s="8"/>
    </row>
    <row r="1280" spans="6:8" x14ac:dyDescent="0.25">
      <c r="F1280" s="8"/>
      <c r="H1280" s="8"/>
    </row>
    <row r="1281" spans="6:8" x14ac:dyDescent="0.25">
      <c r="F1281" s="8"/>
      <c r="H1281" s="8"/>
    </row>
    <row r="1282" spans="6:8" x14ac:dyDescent="0.25">
      <c r="F1282" s="8"/>
      <c r="H1282" s="8"/>
    </row>
    <row r="1283" spans="6:8" x14ac:dyDescent="0.25">
      <c r="F1283" s="8"/>
      <c r="H1283" s="8"/>
    </row>
    <row r="1284" spans="6:8" x14ac:dyDescent="0.25">
      <c r="F1284" s="8"/>
      <c r="H1284" s="8"/>
    </row>
    <row r="1285" spans="6:8" x14ac:dyDescent="0.25">
      <c r="F1285" s="8"/>
      <c r="H1285" s="8"/>
    </row>
    <row r="1286" spans="6:8" x14ac:dyDescent="0.25">
      <c r="F1286" s="8"/>
      <c r="H1286" s="8"/>
    </row>
    <row r="1287" spans="6:8" x14ac:dyDescent="0.25">
      <c r="F1287" s="8"/>
      <c r="H1287" s="8"/>
    </row>
    <row r="1288" spans="6:8" x14ac:dyDescent="0.25">
      <c r="F1288" s="8"/>
      <c r="H1288" s="8"/>
    </row>
    <row r="1289" spans="6:8" x14ac:dyDescent="0.25">
      <c r="F1289" s="8"/>
      <c r="H1289" s="8"/>
    </row>
    <row r="1290" spans="6:8" x14ac:dyDescent="0.25">
      <c r="F1290" s="8"/>
      <c r="H1290" s="8"/>
    </row>
    <row r="1291" spans="6:8" x14ac:dyDescent="0.25">
      <c r="F1291" s="8"/>
      <c r="H1291" s="8"/>
    </row>
    <row r="1292" spans="6:8" x14ac:dyDescent="0.25">
      <c r="F1292" s="8"/>
      <c r="H1292" s="8"/>
    </row>
    <row r="1293" spans="6:8" x14ac:dyDescent="0.25">
      <c r="F1293" s="8"/>
      <c r="H1293" s="8"/>
    </row>
    <row r="1294" spans="6:8" x14ac:dyDescent="0.25">
      <c r="F1294" s="8"/>
      <c r="H1294" s="8"/>
    </row>
    <row r="1295" spans="6:8" x14ac:dyDescent="0.25">
      <c r="F1295" s="8"/>
      <c r="H1295" s="8"/>
    </row>
    <row r="1296" spans="6:8" x14ac:dyDescent="0.25">
      <c r="F1296" s="8"/>
      <c r="H1296" s="8"/>
    </row>
    <row r="1297" spans="6:8" x14ac:dyDescent="0.25">
      <c r="F1297" s="8"/>
      <c r="H1297" s="8"/>
    </row>
    <row r="1298" spans="6:8" x14ac:dyDescent="0.25">
      <c r="F1298" s="8"/>
      <c r="H1298" s="8"/>
    </row>
    <row r="1299" spans="6:8" x14ac:dyDescent="0.25">
      <c r="F1299" s="8"/>
      <c r="H1299" s="8"/>
    </row>
    <row r="1300" spans="6:8" x14ac:dyDescent="0.25">
      <c r="F1300" s="8"/>
      <c r="H1300" s="8"/>
    </row>
    <row r="1301" spans="6:8" x14ac:dyDescent="0.25">
      <c r="F1301" s="8"/>
      <c r="H1301" s="8"/>
    </row>
    <row r="1302" spans="6:8" x14ac:dyDescent="0.25">
      <c r="F1302" s="8"/>
      <c r="H1302" s="8"/>
    </row>
    <row r="1303" spans="6:8" x14ac:dyDescent="0.25">
      <c r="F1303" s="8"/>
      <c r="H1303" s="8"/>
    </row>
    <row r="1304" spans="6:8" x14ac:dyDescent="0.25">
      <c r="F1304" s="8"/>
      <c r="H1304" s="8"/>
    </row>
    <row r="1305" spans="6:8" x14ac:dyDescent="0.25">
      <c r="F1305" s="8"/>
      <c r="H1305" s="8"/>
    </row>
    <row r="1306" spans="6:8" x14ac:dyDescent="0.25">
      <c r="F1306" s="8"/>
      <c r="H1306" s="8"/>
    </row>
    <row r="1307" spans="6:8" x14ac:dyDescent="0.25">
      <c r="F1307" s="8"/>
      <c r="H1307" s="8"/>
    </row>
    <row r="1308" spans="6:8" x14ac:dyDescent="0.25">
      <c r="F1308" s="8"/>
      <c r="H1308" s="8"/>
    </row>
    <row r="1309" spans="6:8" x14ac:dyDescent="0.25">
      <c r="F1309" s="8"/>
      <c r="H1309" s="8"/>
    </row>
    <row r="1310" spans="6:8" x14ac:dyDescent="0.25">
      <c r="F1310" s="8"/>
      <c r="H1310" s="8"/>
    </row>
    <row r="1311" spans="6:8" x14ac:dyDescent="0.25">
      <c r="F1311" s="8"/>
      <c r="H1311" s="8"/>
    </row>
    <row r="1312" spans="6:8" x14ac:dyDescent="0.25">
      <c r="F1312" s="8"/>
      <c r="H1312" s="8"/>
    </row>
    <row r="1313" spans="6:8" x14ac:dyDescent="0.25">
      <c r="F1313" s="8"/>
      <c r="H1313" s="8"/>
    </row>
    <row r="1314" spans="6:8" x14ac:dyDescent="0.25">
      <c r="F1314" s="8"/>
      <c r="H1314" s="8"/>
    </row>
    <row r="1315" spans="6:8" x14ac:dyDescent="0.25">
      <c r="F1315" s="8"/>
      <c r="H1315" s="8"/>
    </row>
    <row r="1316" spans="6:8" x14ac:dyDescent="0.25">
      <c r="F1316" s="8"/>
      <c r="H1316" s="8"/>
    </row>
    <row r="1317" spans="6:8" x14ac:dyDescent="0.25">
      <c r="F1317" s="8"/>
      <c r="H1317" s="8"/>
    </row>
    <row r="1318" spans="6:8" x14ac:dyDescent="0.25">
      <c r="F1318" s="8"/>
      <c r="H1318" s="8"/>
    </row>
    <row r="1319" spans="6:8" x14ac:dyDescent="0.25">
      <c r="F1319" s="8"/>
      <c r="H1319" s="8"/>
    </row>
    <row r="1320" spans="6:8" x14ac:dyDescent="0.25">
      <c r="F1320" s="8"/>
      <c r="H1320" s="8"/>
    </row>
    <row r="1321" spans="6:8" x14ac:dyDescent="0.25">
      <c r="F1321" s="8"/>
      <c r="H1321" s="8"/>
    </row>
    <row r="1322" spans="6:8" x14ac:dyDescent="0.25">
      <c r="F1322" s="8"/>
      <c r="H1322" s="8"/>
    </row>
    <row r="1323" spans="6:8" x14ac:dyDescent="0.25">
      <c r="F1323" s="8"/>
      <c r="H1323" s="8"/>
    </row>
    <row r="1324" spans="6:8" x14ac:dyDescent="0.25">
      <c r="F1324" s="8"/>
      <c r="H1324" s="8"/>
    </row>
    <row r="1325" spans="6:8" x14ac:dyDescent="0.25">
      <c r="F1325" s="8"/>
      <c r="H1325" s="8"/>
    </row>
    <row r="1326" spans="6:8" x14ac:dyDescent="0.25">
      <c r="F1326" s="8"/>
      <c r="H1326" s="8"/>
    </row>
    <row r="1327" spans="6:8" x14ac:dyDescent="0.25">
      <c r="F1327" s="8"/>
      <c r="H1327" s="8"/>
    </row>
    <row r="1328" spans="6:8" x14ac:dyDescent="0.25">
      <c r="F1328" s="8"/>
      <c r="H1328" s="8"/>
    </row>
    <row r="1329" spans="6:8" x14ac:dyDescent="0.25">
      <c r="F1329" s="8"/>
      <c r="H1329" s="8"/>
    </row>
    <row r="1330" spans="6:8" x14ac:dyDescent="0.25">
      <c r="F1330" s="8"/>
      <c r="H1330" s="8"/>
    </row>
    <row r="1331" spans="6:8" x14ac:dyDescent="0.25">
      <c r="F1331" s="8"/>
      <c r="H1331" s="8"/>
    </row>
    <row r="1332" spans="6:8" x14ac:dyDescent="0.25">
      <c r="F1332" s="8"/>
      <c r="H1332" s="8"/>
    </row>
    <row r="1333" spans="6:8" x14ac:dyDescent="0.25">
      <c r="F1333" s="8"/>
      <c r="H1333" s="8"/>
    </row>
    <row r="1334" spans="6:8" x14ac:dyDescent="0.25">
      <c r="F1334" s="8"/>
      <c r="H1334" s="8"/>
    </row>
    <row r="1335" spans="6:8" x14ac:dyDescent="0.25">
      <c r="F1335" s="8"/>
      <c r="H1335" s="8"/>
    </row>
    <row r="1336" spans="6:8" x14ac:dyDescent="0.25">
      <c r="F1336" s="8"/>
      <c r="H1336" s="8"/>
    </row>
    <row r="1337" spans="6:8" x14ac:dyDescent="0.25">
      <c r="F1337" s="8"/>
      <c r="H1337" s="8"/>
    </row>
    <row r="1338" spans="6:8" x14ac:dyDescent="0.25">
      <c r="F1338" s="8"/>
      <c r="H1338" s="8"/>
    </row>
    <row r="1339" spans="6:8" x14ac:dyDescent="0.25">
      <c r="F1339" s="8"/>
      <c r="H1339" s="8"/>
    </row>
    <row r="1340" spans="6:8" x14ac:dyDescent="0.25">
      <c r="F1340" s="8"/>
      <c r="H1340" s="8"/>
    </row>
    <row r="1341" spans="6:8" x14ac:dyDescent="0.25">
      <c r="F1341" s="8"/>
      <c r="H1341" s="8"/>
    </row>
    <row r="1342" spans="6:8" x14ac:dyDescent="0.25">
      <c r="F1342" s="8"/>
      <c r="H1342" s="8"/>
    </row>
    <row r="1343" spans="6:8" x14ac:dyDescent="0.25">
      <c r="F1343" s="8"/>
      <c r="H1343" s="8"/>
    </row>
    <row r="1344" spans="6:8" x14ac:dyDescent="0.25">
      <c r="F1344" s="8"/>
      <c r="H1344" s="8"/>
    </row>
    <row r="1345" spans="6:8" x14ac:dyDescent="0.25">
      <c r="F1345" s="8"/>
      <c r="H1345" s="8"/>
    </row>
    <row r="1346" spans="6:8" x14ac:dyDescent="0.25">
      <c r="F1346" s="8"/>
      <c r="H1346" s="8"/>
    </row>
    <row r="1347" spans="6:8" x14ac:dyDescent="0.25">
      <c r="F1347" s="8"/>
      <c r="H1347" s="8"/>
    </row>
    <row r="1348" spans="6:8" x14ac:dyDescent="0.25">
      <c r="F1348" s="8"/>
      <c r="H1348" s="8"/>
    </row>
    <row r="1349" spans="6:8" x14ac:dyDescent="0.25">
      <c r="F1349" s="8"/>
      <c r="H1349" s="8"/>
    </row>
    <row r="1350" spans="6:8" x14ac:dyDescent="0.25">
      <c r="F1350" s="8"/>
      <c r="H1350" s="8"/>
    </row>
    <row r="1351" spans="6:8" x14ac:dyDescent="0.25">
      <c r="F1351" s="8"/>
      <c r="H1351" s="8"/>
    </row>
    <row r="1352" spans="6:8" x14ac:dyDescent="0.25">
      <c r="F1352" s="8"/>
      <c r="H1352" s="8"/>
    </row>
    <row r="1353" spans="6:8" x14ac:dyDescent="0.25">
      <c r="F1353" s="8"/>
      <c r="H1353" s="8"/>
    </row>
    <row r="1354" spans="6:8" x14ac:dyDescent="0.25">
      <c r="F1354" s="8"/>
      <c r="H1354" s="8"/>
    </row>
    <row r="1355" spans="6:8" x14ac:dyDescent="0.25">
      <c r="F1355" s="8"/>
      <c r="H1355" s="8"/>
    </row>
    <row r="1356" spans="6:8" x14ac:dyDescent="0.25">
      <c r="F1356" s="8"/>
      <c r="H1356" s="8"/>
    </row>
    <row r="1357" spans="6:8" x14ac:dyDescent="0.25">
      <c r="F1357" s="8"/>
      <c r="H1357" s="8"/>
    </row>
    <row r="1358" spans="6:8" x14ac:dyDescent="0.25">
      <c r="F1358" s="8"/>
      <c r="H1358" s="8"/>
    </row>
    <row r="1359" spans="6:8" x14ac:dyDescent="0.25">
      <c r="F1359" s="8"/>
      <c r="H1359" s="8"/>
    </row>
    <row r="1360" spans="6:8" x14ac:dyDescent="0.25">
      <c r="F1360" s="8"/>
      <c r="H1360" s="8"/>
    </row>
    <row r="1361" spans="6:8" x14ac:dyDescent="0.25">
      <c r="F1361" s="8"/>
      <c r="H1361" s="8"/>
    </row>
    <row r="1362" spans="6:8" x14ac:dyDescent="0.25">
      <c r="F1362" s="8"/>
      <c r="H1362" s="8"/>
    </row>
    <row r="1363" spans="6:8" x14ac:dyDescent="0.25">
      <c r="F1363" s="8"/>
      <c r="H1363" s="8"/>
    </row>
    <row r="1364" spans="6:8" x14ac:dyDescent="0.25">
      <c r="F1364" s="8"/>
      <c r="H1364" s="8"/>
    </row>
    <row r="1365" spans="6:8" x14ac:dyDescent="0.25">
      <c r="F1365" s="8"/>
      <c r="H1365" s="8"/>
    </row>
    <row r="1366" spans="6:8" x14ac:dyDescent="0.25">
      <c r="F1366" s="8"/>
      <c r="H1366" s="8"/>
    </row>
    <row r="1367" spans="6:8" x14ac:dyDescent="0.25">
      <c r="F1367" s="8"/>
      <c r="H1367" s="8"/>
    </row>
    <row r="1368" spans="6:8" x14ac:dyDescent="0.25">
      <c r="F1368" s="8"/>
      <c r="H1368" s="8"/>
    </row>
    <row r="1369" spans="6:8" x14ac:dyDescent="0.25">
      <c r="F1369" s="8"/>
      <c r="H1369" s="8"/>
    </row>
    <row r="1370" spans="6:8" x14ac:dyDescent="0.25">
      <c r="F1370" s="8"/>
      <c r="H1370" s="8"/>
    </row>
    <row r="1371" spans="6:8" x14ac:dyDescent="0.25">
      <c r="F1371" s="8"/>
      <c r="H1371" s="8"/>
    </row>
    <row r="1372" spans="6:8" x14ac:dyDescent="0.25">
      <c r="F1372" s="8"/>
      <c r="H1372" s="8"/>
    </row>
    <row r="1373" spans="6:8" x14ac:dyDescent="0.25">
      <c r="F1373" s="8"/>
      <c r="H1373" s="8"/>
    </row>
    <row r="1374" spans="6:8" x14ac:dyDescent="0.25">
      <c r="F1374" s="8"/>
      <c r="H1374" s="8"/>
    </row>
    <row r="1375" spans="6:8" x14ac:dyDescent="0.25">
      <c r="F1375" s="8"/>
      <c r="H1375" s="8"/>
    </row>
    <row r="1376" spans="6:8" x14ac:dyDescent="0.25">
      <c r="F1376" s="8"/>
      <c r="H1376" s="8"/>
    </row>
    <row r="1377" spans="6:8" x14ac:dyDescent="0.25">
      <c r="F1377" s="8"/>
      <c r="H1377" s="8"/>
    </row>
    <row r="1378" spans="6:8" x14ac:dyDescent="0.25">
      <c r="F1378" s="8"/>
      <c r="H1378" s="8"/>
    </row>
    <row r="1379" spans="6:8" x14ac:dyDescent="0.25">
      <c r="F1379" s="8"/>
      <c r="H1379" s="8"/>
    </row>
    <row r="1380" spans="6:8" x14ac:dyDescent="0.25">
      <c r="F1380" s="8"/>
      <c r="H1380" s="8"/>
    </row>
    <row r="1381" spans="6:8" x14ac:dyDescent="0.25">
      <c r="F1381" s="8"/>
      <c r="H1381" s="8"/>
    </row>
    <row r="1382" spans="6:8" x14ac:dyDescent="0.25">
      <c r="F1382" s="8"/>
      <c r="H1382" s="8"/>
    </row>
    <row r="1383" spans="6:8" x14ac:dyDescent="0.25">
      <c r="F1383" s="8"/>
      <c r="H1383" s="8"/>
    </row>
    <row r="1384" spans="6:8" x14ac:dyDescent="0.25">
      <c r="F1384" s="8"/>
      <c r="H1384" s="8"/>
    </row>
    <row r="1385" spans="6:8" x14ac:dyDescent="0.25">
      <c r="F1385" s="8"/>
      <c r="H1385" s="8"/>
    </row>
    <row r="1386" spans="6:8" x14ac:dyDescent="0.25">
      <c r="F1386" s="8"/>
      <c r="H1386" s="8"/>
    </row>
    <row r="1387" spans="6:8" x14ac:dyDescent="0.25">
      <c r="F1387" s="8"/>
      <c r="H1387" s="8"/>
    </row>
    <row r="1388" spans="6:8" x14ac:dyDescent="0.25">
      <c r="F1388" s="8"/>
      <c r="H1388" s="8"/>
    </row>
    <row r="1389" spans="6:8" x14ac:dyDescent="0.25">
      <c r="F1389" s="8"/>
      <c r="H1389" s="8"/>
    </row>
    <row r="1390" spans="6:8" x14ac:dyDescent="0.25">
      <c r="F1390" s="8"/>
      <c r="H1390" s="8"/>
    </row>
    <row r="1391" spans="6:8" x14ac:dyDescent="0.25">
      <c r="F1391" s="8"/>
      <c r="H1391" s="8"/>
    </row>
    <row r="1392" spans="6:8" x14ac:dyDescent="0.25">
      <c r="F1392" s="8"/>
      <c r="H1392" s="8"/>
    </row>
    <row r="1393" spans="6:8" x14ac:dyDescent="0.25">
      <c r="F1393" s="8"/>
      <c r="H1393" s="8"/>
    </row>
    <row r="1394" spans="6:8" x14ac:dyDescent="0.25">
      <c r="F1394" s="8"/>
      <c r="H1394" s="8"/>
    </row>
    <row r="1395" spans="6:8" x14ac:dyDescent="0.25">
      <c r="F1395" s="8"/>
      <c r="H1395" s="8"/>
    </row>
    <row r="1396" spans="6:8" x14ac:dyDescent="0.25">
      <c r="F1396" s="8"/>
      <c r="H1396" s="8"/>
    </row>
    <row r="1397" spans="6:8" x14ac:dyDescent="0.25">
      <c r="F1397" s="8"/>
      <c r="H1397" s="8"/>
    </row>
    <row r="1398" spans="6:8" x14ac:dyDescent="0.25">
      <c r="F1398" s="8"/>
      <c r="H1398" s="8"/>
    </row>
    <row r="1399" spans="6:8" x14ac:dyDescent="0.25">
      <c r="F1399" s="8"/>
      <c r="H1399" s="8"/>
    </row>
    <row r="1400" spans="6:8" x14ac:dyDescent="0.25">
      <c r="F1400" s="8"/>
      <c r="H1400" s="8"/>
    </row>
    <row r="1401" spans="6:8" x14ac:dyDescent="0.25">
      <c r="F1401" s="8"/>
      <c r="H1401" s="8"/>
    </row>
    <row r="1402" spans="6:8" x14ac:dyDescent="0.25">
      <c r="F1402" s="8"/>
      <c r="H1402" s="8"/>
    </row>
    <row r="1403" spans="6:8" x14ac:dyDescent="0.25">
      <c r="F1403" s="8"/>
      <c r="H1403" s="8"/>
    </row>
    <row r="1404" spans="6:8" x14ac:dyDescent="0.25">
      <c r="F1404" s="8"/>
      <c r="H1404" s="8"/>
    </row>
    <row r="1405" spans="6:8" x14ac:dyDescent="0.25">
      <c r="F1405" s="8"/>
      <c r="H1405" s="8"/>
    </row>
    <row r="1406" spans="6:8" x14ac:dyDescent="0.25">
      <c r="F1406" s="8"/>
      <c r="H1406" s="8"/>
    </row>
    <row r="1407" spans="6:8" x14ac:dyDescent="0.25">
      <c r="F1407" s="8"/>
      <c r="H1407" s="8"/>
    </row>
    <row r="1408" spans="6:8" x14ac:dyDescent="0.25">
      <c r="F1408" s="8"/>
      <c r="H1408" s="8"/>
    </row>
    <row r="1409" spans="6:8" x14ac:dyDescent="0.25">
      <c r="F1409" s="8"/>
      <c r="H1409" s="8"/>
    </row>
    <row r="1410" spans="6:8" x14ac:dyDescent="0.25">
      <c r="F1410" s="8"/>
      <c r="H1410" s="8"/>
    </row>
    <row r="1411" spans="6:8" x14ac:dyDescent="0.25">
      <c r="F1411" s="8"/>
      <c r="H1411" s="8"/>
    </row>
    <row r="1412" spans="6:8" x14ac:dyDescent="0.25">
      <c r="F1412" s="8"/>
      <c r="H1412" s="8"/>
    </row>
    <row r="1413" spans="6:8" x14ac:dyDescent="0.25">
      <c r="F1413" s="8"/>
      <c r="H1413" s="8"/>
    </row>
    <row r="1414" spans="6:8" x14ac:dyDescent="0.25">
      <c r="F1414" s="8"/>
      <c r="H1414" s="8"/>
    </row>
    <row r="1415" spans="6:8" x14ac:dyDescent="0.25">
      <c r="F1415" s="8"/>
      <c r="H1415" s="8"/>
    </row>
    <row r="1416" spans="6:8" x14ac:dyDescent="0.25">
      <c r="F1416" s="8"/>
      <c r="H1416" s="8"/>
    </row>
    <row r="1417" spans="6:8" x14ac:dyDescent="0.25">
      <c r="F1417" s="8"/>
      <c r="H1417" s="8"/>
    </row>
    <row r="1418" spans="6:8" x14ac:dyDescent="0.25">
      <c r="F1418" s="8"/>
      <c r="H1418" s="8"/>
    </row>
    <row r="1419" spans="6:8" x14ac:dyDescent="0.25">
      <c r="F1419" s="8"/>
      <c r="H1419" s="8"/>
    </row>
    <row r="1420" spans="6:8" x14ac:dyDescent="0.25">
      <c r="F1420" s="8"/>
      <c r="H1420" s="8"/>
    </row>
    <row r="1421" spans="6:8" x14ac:dyDescent="0.25">
      <c r="F1421" s="8"/>
      <c r="H1421" s="8"/>
    </row>
    <row r="1422" spans="6:8" x14ac:dyDescent="0.25">
      <c r="F1422" s="8"/>
      <c r="H1422" s="8"/>
    </row>
    <row r="1423" spans="6:8" x14ac:dyDescent="0.25">
      <c r="F1423" s="8"/>
      <c r="H1423" s="8"/>
    </row>
    <row r="1424" spans="6:8" x14ac:dyDescent="0.25">
      <c r="F1424" s="8"/>
      <c r="H1424" s="8"/>
    </row>
    <row r="1425" spans="6:8" x14ac:dyDescent="0.25">
      <c r="F1425" s="8"/>
      <c r="H1425" s="8"/>
    </row>
    <row r="1426" spans="6:8" x14ac:dyDescent="0.25">
      <c r="F1426" s="8"/>
      <c r="H1426" s="8"/>
    </row>
    <row r="1427" spans="6:8" x14ac:dyDescent="0.25">
      <c r="F1427" s="8"/>
      <c r="H1427" s="8"/>
    </row>
    <row r="1428" spans="6:8" x14ac:dyDescent="0.25">
      <c r="F1428" s="8"/>
      <c r="H1428" s="8"/>
    </row>
    <row r="1429" spans="6:8" x14ac:dyDescent="0.25">
      <c r="F1429" s="8"/>
      <c r="H1429" s="8"/>
    </row>
    <row r="1430" spans="6:8" x14ac:dyDescent="0.25">
      <c r="F1430" s="8"/>
      <c r="H1430" s="8"/>
    </row>
    <row r="1431" spans="6:8" x14ac:dyDescent="0.25">
      <c r="F1431" s="8"/>
      <c r="H1431" s="8"/>
    </row>
    <row r="1432" spans="6:8" x14ac:dyDescent="0.25">
      <c r="F1432" s="8"/>
      <c r="H1432" s="8"/>
    </row>
    <row r="1433" spans="6:8" x14ac:dyDescent="0.25">
      <c r="F1433" s="8"/>
      <c r="H1433" s="8"/>
    </row>
    <row r="1434" spans="6:8" x14ac:dyDescent="0.25">
      <c r="F1434" s="8"/>
      <c r="H1434" s="8"/>
    </row>
    <row r="1435" spans="6:8" x14ac:dyDescent="0.25">
      <c r="F1435" s="8"/>
      <c r="H1435" s="8"/>
    </row>
    <row r="1436" spans="6:8" x14ac:dyDescent="0.25">
      <c r="F1436" s="8"/>
      <c r="H1436" s="8"/>
    </row>
    <row r="1437" spans="6:8" x14ac:dyDescent="0.25">
      <c r="F1437" s="8"/>
      <c r="H1437" s="8"/>
    </row>
    <row r="1438" spans="6:8" x14ac:dyDescent="0.25">
      <c r="F1438" s="8"/>
      <c r="H1438" s="8"/>
    </row>
    <row r="1439" spans="6:8" x14ac:dyDescent="0.25">
      <c r="F1439" s="8"/>
      <c r="H1439" s="8"/>
    </row>
    <row r="1440" spans="6:8" x14ac:dyDescent="0.25">
      <c r="F1440" s="8"/>
      <c r="H1440" s="8"/>
    </row>
    <row r="1441" spans="6:8" x14ac:dyDescent="0.25">
      <c r="F1441" s="8"/>
      <c r="H1441" s="8"/>
    </row>
    <row r="1442" spans="6:8" x14ac:dyDescent="0.25">
      <c r="F1442" s="8"/>
      <c r="H1442" s="8"/>
    </row>
    <row r="1443" spans="6:8" x14ac:dyDescent="0.25">
      <c r="F1443" s="8"/>
      <c r="H1443" s="8"/>
    </row>
    <row r="1444" spans="6:8" x14ac:dyDescent="0.25">
      <c r="F1444" s="8"/>
      <c r="H1444" s="8"/>
    </row>
    <row r="1445" spans="6:8" x14ac:dyDescent="0.25">
      <c r="F1445" s="8"/>
      <c r="H1445" s="8"/>
    </row>
    <row r="1446" spans="6:8" x14ac:dyDescent="0.25">
      <c r="F1446" s="8"/>
      <c r="H1446" s="8"/>
    </row>
    <row r="1447" spans="6:8" x14ac:dyDescent="0.25">
      <c r="F1447" s="8"/>
      <c r="H1447" s="8"/>
    </row>
    <row r="1448" spans="6:8" x14ac:dyDescent="0.25">
      <c r="F1448" s="8"/>
      <c r="H1448" s="8"/>
    </row>
    <row r="1449" spans="6:8" x14ac:dyDescent="0.25">
      <c r="F1449" s="8"/>
      <c r="H1449" s="8"/>
    </row>
    <row r="1450" spans="6:8" x14ac:dyDescent="0.25">
      <c r="F1450" s="8"/>
      <c r="H1450" s="8"/>
    </row>
    <row r="1451" spans="6:8" x14ac:dyDescent="0.25">
      <c r="F1451" s="8"/>
      <c r="H1451" s="8"/>
    </row>
    <row r="1452" spans="6:8" x14ac:dyDescent="0.25">
      <c r="F1452" s="8"/>
      <c r="H1452" s="8"/>
    </row>
    <row r="1453" spans="6:8" x14ac:dyDescent="0.25">
      <c r="F1453" s="8"/>
      <c r="H1453" s="8"/>
    </row>
    <row r="1454" spans="6:8" x14ac:dyDescent="0.25">
      <c r="F1454" s="8"/>
      <c r="H1454" s="8"/>
    </row>
    <row r="1455" spans="6:8" x14ac:dyDescent="0.25">
      <c r="F1455" s="8"/>
      <c r="H1455" s="8"/>
    </row>
    <row r="1456" spans="6:8" x14ac:dyDescent="0.25">
      <c r="F1456" s="8"/>
      <c r="H1456" s="8"/>
    </row>
    <row r="1457" spans="6:8" x14ac:dyDescent="0.25">
      <c r="F1457" s="8"/>
      <c r="H1457" s="8"/>
    </row>
    <row r="1458" spans="6:8" x14ac:dyDescent="0.25">
      <c r="F1458" s="8"/>
      <c r="H1458" s="8"/>
    </row>
    <row r="1459" spans="6:8" x14ac:dyDescent="0.25">
      <c r="F1459" s="8"/>
      <c r="H1459" s="8"/>
    </row>
    <row r="1460" spans="6:8" x14ac:dyDescent="0.25">
      <c r="F1460" s="8"/>
      <c r="H1460" s="8"/>
    </row>
    <row r="1461" spans="6:8" x14ac:dyDescent="0.25">
      <c r="F1461" s="8"/>
      <c r="H1461" s="8"/>
    </row>
    <row r="1462" spans="6:8" x14ac:dyDescent="0.25">
      <c r="F1462" s="8"/>
      <c r="H1462" s="8"/>
    </row>
    <row r="1463" spans="6:8" x14ac:dyDescent="0.25">
      <c r="F1463" s="8"/>
      <c r="H1463" s="8"/>
    </row>
    <row r="1464" spans="6:8" x14ac:dyDescent="0.25">
      <c r="F1464" s="8"/>
      <c r="H1464" s="8"/>
    </row>
    <row r="1465" spans="6:8" x14ac:dyDescent="0.25">
      <c r="F1465" s="8"/>
      <c r="H1465" s="8"/>
    </row>
    <row r="1466" spans="6:8" x14ac:dyDescent="0.25">
      <c r="F1466" s="8"/>
      <c r="H1466" s="8"/>
    </row>
    <row r="1467" spans="6:8" x14ac:dyDescent="0.25">
      <c r="F1467" s="8"/>
      <c r="H1467" s="8"/>
    </row>
    <row r="1468" spans="6:8" x14ac:dyDescent="0.25">
      <c r="F1468" s="8"/>
      <c r="H1468" s="8"/>
    </row>
    <row r="1469" spans="6:8" x14ac:dyDescent="0.25">
      <c r="F1469" s="8"/>
      <c r="H1469" s="8"/>
    </row>
    <row r="1470" spans="6:8" x14ac:dyDescent="0.25">
      <c r="F1470" s="8"/>
      <c r="H1470" s="8"/>
    </row>
    <row r="1471" spans="6:8" x14ac:dyDescent="0.25">
      <c r="F1471" s="8"/>
      <c r="H1471" s="8"/>
    </row>
    <row r="1472" spans="6:8" x14ac:dyDescent="0.25">
      <c r="F1472" s="8"/>
      <c r="H1472" s="8"/>
    </row>
    <row r="1473" spans="6:8" x14ac:dyDescent="0.25">
      <c r="F1473" s="8"/>
      <c r="H1473" s="8"/>
    </row>
    <row r="1474" spans="6:8" x14ac:dyDescent="0.25">
      <c r="F1474" s="8"/>
      <c r="H1474" s="8"/>
    </row>
    <row r="1475" spans="6:8" x14ac:dyDescent="0.25">
      <c r="F1475" s="8"/>
      <c r="H1475" s="8"/>
    </row>
    <row r="1476" spans="6:8" x14ac:dyDescent="0.25">
      <c r="F1476" s="8"/>
      <c r="H1476" s="8"/>
    </row>
    <row r="1477" spans="6:8" x14ac:dyDescent="0.25">
      <c r="F1477" s="8"/>
      <c r="H1477" s="8"/>
    </row>
    <row r="1478" spans="6:8" x14ac:dyDescent="0.25">
      <c r="F1478" s="8"/>
      <c r="H1478" s="8"/>
    </row>
    <row r="1479" spans="6:8" x14ac:dyDescent="0.25">
      <c r="F1479" s="8"/>
      <c r="H1479" s="8"/>
    </row>
    <row r="1480" spans="6:8" x14ac:dyDescent="0.25">
      <c r="F1480" s="8"/>
      <c r="H1480" s="8"/>
    </row>
    <row r="1481" spans="6:8" x14ac:dyDescent="0.25">
      <c r="F1481" s="8"/>
      <c r="H1481" s="8"/>
    </row>
    <row r="1482" spans="6:8" x14ac:dyDescent="0.25">
      <c r="F1482" s="8"/>
      <c r="H1482" s="8"/>
    </row>
    <row r="1483" spans="6:8" x14ac:dyDescent="0.25">
      <c r="F1483" s="8"/>
      <c r="H1483" s="8"/>
    </row>
    <row r="1484" spans="6:8" x14ac:dyDescent="0.25">
      <c r="F1484" s="8"/>
      <c r="H1484" s="8"/>
    </row>
    <row r="1485" spans="6:8" x14ac:dyDescent="0.25">
      <c r="F1485" s="8"/>
      <c r="H1485" s="8"/>
    </row>
    <row r="1486" spans="6:8" x14ac:dyDescent="0.25">
      <c r="F1486" s="8"/>
      <c r="H1486" s="8"/>
    </row>
    <row r="1487" spans="6:8" x14ac:dyDescent="0.25">
      <c r="F1487" s="8"/>
      <c r="H1487" s="8"/>
    </row>
    <row r="1488" spans="6:8" x14ac:dyDescent="0.25">
      <c r="F1488" s="8"/>
      <c r="H1488" s="8"/>
    </row>
    <row r="1489" spans="6:8" x14ac:dyDescent="0.25">
      <c r="F1489" s="8"/>
      <c r="H1489" s="8"/>
    </row>
    <row r="1490" spans="6:8" x14ac:dyDescent="0.25">
      <c r="F1490" s="8"/>
      <c r="H1490" s="8"/>
    </row>
    <row r="1491" spans="6:8" x14ac:dyDescent="0.25">
      <c r="F1491" s="8"/>
      <c r="H1491" s="8"/>
    </row>
    <row r="1492" spans="6:8" x14ac:dyDescent="0.25">
      <c r="F1492" s="8"/>
      <c r="H1492" s="8"/>
    </row>
    <row r="1493" spans="6:8" x14ac:dyDescent="0.25">
      <c r="F1493" s="8"/>
      <c r="H1493" s="8"/>
    </row>
    <row r="1494" spans="6:8" x14ac:dyDescent="0.25">
      <c r="F1494" s="8"/>
      <c r="H1494" s="8"/>
    </row>
    <row r="1495" spans="6:8" x14ac:dyDescent="0.25">
      <c r="F1495" s="8"/>
      <c r="H1495" s="8"/>
    </row>
    <row r="1496" spans="6:8" x14ac:dyDescent="0.25">
      <c r="F1496" s="8"/>
      <c r="H1496" s="8"/>
    </row>
    <row r="1497" spans="6:8" x14ac:dyDescent="0.25">
      <c r="F1497" s="8"/>
      <c r="H1497" s="8"/>
    </row>
    <row r="1498" spans="6:8" x14ac:dyDescent="0.25">
      <c r="F1498" s="8"/>
      <c r="H1498" s="8"/>
    </row>
    <row r="1499" spans="6:8" x14ac:dyDescent="0.25">
      <c r="F1499" s="8"/>
      <c r="H1499" s="8"/>
    </row>
    <row r="1500" spans="6:8" x14ac:dyDescent="0.25">
      <c r="F1500" s="8"/>
      <c r="H1500" s="8"/>
    </row>
    <row r="1501" spans="6:8" x14ac:dyDescent="0.25">
      <c r="F1501" s="8"/>
      <c r="H1501" s="8"/>
    </row>
    <row r="1502" spans="6:8" x14ac:dyDescent="0.25">
      <c r="F1502" s="8"/>
      <c r="H1502" s="8"/>
    </row>
    <row r="1503" spans="6:8" x14ac:dyDescent="0.25">
      <c r="F1503" s="8"/>
      <c r="H1503" s="8"/>
    </row>
    <row r="1504" spans="6:8" x14ac:dyDescent="0.25">
      <c r="F1504" s="8"/>
      <c r="H1504" s="8"/>
    </row>
    <row r="1505" spans="6:8" x14ac:dyDescent="0.25">
      <c r="F1505" s="8"/>
      <c r="H1505" s="8"/>
    </row>
    <row r="1506" spans="6:8" x14ac:dyDescent="0.25">
      <c r="F1506" s="8"/>
      <c r="H1506" s="8"/>
    </row>
    <row r="1507" spans="6:8" x14ac:dyDescent="0.25">
      <c r="F1507" s="8"/>
      <c r="H1507" s="8"/>
    </row>
    <row r="1508" spans="6:8" x14ac:dyDescent="0.25">
      <c r="F1508" s="8"/>
      <c r="H1508" s="8"/>
    </row>
    <row r="1509" spans="6:8" x14ac:dyDescent="0.25">
      <c r="F1509" s="8"/>
      <c r="H1509" s="8"/>
    </row>
    <row r="1510" spans="6:8" x14ac:dyDescent="0.25">
      <c r="F1510" s="8"/>
      <c r="H1510" s="8"/>
    </row>
    <row r="1511" spans="6:8" x14ac:dyDescent="0.25">
      <c r="F1511" s="8"/>
      <c r="H1511" s="8"/>
    </row>
    <row r="1512" spans="6:8" x14ac:dyDescent="0.25">
      <c r="F1512" s="8"/>
      <c r="H1512" s="8"/>
    </row>
    <row r="1513" spans="6:8" x14ac:dyDescent="0.25">
      <c r="F1513" s="8"/>
      <c r="H1513" s="8"/>
    </row>
    <row r="1514" spans="6:8" x14ac:dyDescent="0.25">
      <c r="F1514" s="8"/>
      <c r="H1514" s="8"/>
    </row>
    <row r="1515" spans="6:8" x14ac:dyDescent="0.25">
      <c r="F1515" s="8"/>
      <c r="H1515" s="8"/>
    </row>
    <row r="1516" spans="6:8" x14ac:dyDescent="0.25">
      <c r="F1516" s="8"/>
      <c r="H1516" s="8"/>
    </row>
    <row r="1517" spans="6:8" x14ac:dyDescent="0.25">
      <c r="F1517" s="8"/>
      <c r="H1517" s="8"/>
    </row>
    <row r="1518" spans="6:8" x14ac:dyDescent="0.25">
      <c r="F1518" s="8"/>
      <c r="H1518" s="8"/>
    </row>
    <row r="1519" spans="6:8" x14ac:dyDescent="0.25">
      <c r="F1519" s="8"/>
      <c r="H1519" s="8"/>
    </row>
    <row r="1520" spans="6:8" x14ac:dyDescent="0.25">
      <c r="F1520" s="8"/>
      <c r="H1520" s="8"/>
    </row>
    <row r="1521" spans="6:8" x14ac:dyDescent="0.25">
      <c r="F1521" s="8"/>
      <c r="H1521" s="8"/>
    </row>
    <row r="1522" spans="6:8" x14ac:dyDescent="0.25">
      <c r="F1522" s="8"/>
      <c r="H1522" s="8"/>
    </row>
    <row r="1523" spans="6:8" x14ac:dyDescent="0.25">
      <c r="F1523" s="8"/>
      <c r="H1523" s="8"/>
    </row>
    <row r="1524" spans="6:8" x14ac:dyDescent="0.25">
      <c r="F1524" s="8"/>
      <c r="H1524" s="8"/>
    </row>
    <row r="1525" spans="6:8" x14ac:dyDescent="0.25">
      <c r="F1525" s="8"/>
      <c r="H1525" s="8"/>
    </row>
    <row r="1526" spans="6:8" x14ac:dyDescent="0.25">
      <c r="F1526" s="8"/>
      <c r="H1526" s="8"/>
    </row>
    <row r="1527" spans="6:8" x14ac:dyDescent="0.25">
      <c r="F1527" s="8"/>
      <c r="H1527" s="8"/>
    </row>
    <row r="1528" spans="6:8" x14ac:dyDescent="0.25">
      <c r="F1528" s="8"/>
      <c r="H1528" s="8"/>
    </row>
    <row r="1529" spans="6:8" x14ac:dyDescent="0.25">
      <c r="F1529" s="8"/>
      <c r="H1529" s="8"/>
    </row>
    <row r="1530" spans="6:8" x14ac:dyDescent="0.25">
      <c r="F1530" s="8"/>
      <c r="H1530" s="8"/>
    </row>
    <row r="1531" spans="6:8" x14ac:dyDescent="0.25">
      <c r="F1531" s="8"/>
      <c r="H1531" s="8"/>
    </row>
    <row r="1532" spans="6:8" x14ac:dyDescent="0.25">
      <c r="F1532" s="8"/>
      <c r="H1532" s="8"/>
    </row>
    <row r="1533" spans="6:8" x14ac:dyDescent="0.25">
      <c r="F1533" s="8"/>
      <c r="H1533" s="8"/>
    </row>
    <row r="1534" spans="6:8" x14ac:dyDescent="0.25">
      <c r="F1534" s="8"/>
      <c r="H1534" s="8"/>
    </row>
    <row r="1535" spans="6:8" x14ac:dyDescent="0.25">
      <c r="F1535" s="8"/>
      <c r="H1535" s="8"/>
    </row>
    <row r="1536" spans="6:8" x14ac:dyDescent="0.25">
      <c r="F1536" s="8"/>
      <c r="H1536" s="8"/>
    </row>
    <row r="1537" spans="6:8" x14ac:dyDescent="0.25">
      <c r="F1537" s="8"/>
      <c r="H1537" s="8"/>
    </row>
    <row r="1538" spans="6:8" x14ac:dyDescent="0.25">
      <c r="F1538" s="8"/>
      <c r="H1538" s="8"/>
    </row>
    <row r="1539" spans="6:8" x14ac:dyDescent="0.25">
      <c r="F1539" s="8"/>
      <c r="H1539" s="8"/>
    </row>
    <row r="1540" spans="6:8" x14ac:dyDescent="0.25">
      <c r="F1540" s="8"/>
      <c r="H1540" s="8"/>
    </row>
    <row r="1541" spans="6:8" x14ac:dyDescent="0.25">
      <c r="F1541" s="8"/>
      <c r="H1541" s="8"/>
    </row>
    <row r="1542" spans="6:8" x14ac:dyDescent="0.25">
      <c r="F1542" s="8"/>
      <c r="H1542" s="8"/>
    </row>
    <row r="1543" spans="6:8" x14ac:dyDescent="0.25">
      <c r="F1543" s="8"/>
      <c r="H1543" s="8"/>
    </row>
    <row r="1544" spans="6:8" x14ac:dyDescent="0.25">
      <c r="F1544" s="8"/>
      <c r="H1544" s="8"/>
    </row>
    <row r="1545" spans="6:8" x14ac:dyDescent="0.25">
      <c r="F1545" s="8"/>
      <c r="H1545" s="8"/>
    </row>
    <row r="1546" spans="6:8" x14ac:dyDescent="0.25">
      <c r="F1546" s="8"/>
      <c r="H1546" s="8"/>
    </row>
    <row r="1547" spans="6:8" x14ac:dyDescent="0.25">
      <c r="F1547" s="8"/>
      <c r="H1547" s="8"/>
    </row>
    <row r="1548" spans="6:8" x14ac:dyDescent="0.25">
      <c r="F1548" s="8"/>
      <c r="H1548" s="8"/>
    </row>
    <row r="1549" spans="6:8" x14ac:dyDescent="0.25">
      <c r="F1549" s="8"/>
      <c r="H1549" s="8"/>
    </row>
    <row r="1550" spans="6:8" x14ac:dyDescent="0.25">
      <c r="F1550" s="8"/>
      <c r="H1550" s="8"/>
    </row>
    <row r="1551" spans="6:8" x14ac:dyDescent="0.25">
      <c r="F1551" s="8"/>
      <c r="H1551" s="8"/>
    </row>
    <row r="1552" spans="6:8" x14ac:dyDescent="0.25">
      <c r="F1552" s="8"/>
      <c r="H1552" s="8"/>
    </row>
    <row r="1553" spans="6:8" x14ac:dyDescent="0.25">
      <c r="F1553" s="8"/>
      <c r="H1553" s="8"/>
    </row>
    <row r="1554" spans="6:8" x14ac:dyDescent="0.25">
      <c r="F1554" s="8"/>
      <c r="H1554" s="8"/>
    </row>
    <row r="1555" spans="6:8" x14ac:dyDescent="0.25">
      <c r="F1555" s="8"/>
      <c r="H1555" s="8"/>
    </row>
    <row r="1556" spans="6:8" x14ac:dyDescent="0.25">
      <c r="F1556" s="8"/>
      <c r="H1556" s="8"/>
    </row>
    <row r="1557" spans="6:8" x14ac:dyDescent="0.25">
      <c r="F1557" s="8"/>
      <c r="H1557" s="8"/>
    </row>
    <row r="1558" spans="6:8" x14ac:dyDescent="0.25">
      <c r="F1558" s="8"/>
      <c r="H1558" s="8"/>
    </row>
    <row r="1559" spans="6:8" x14ac:dyDescent="0.25">
      <c r="F1559" s="8"/>
      <c r="H1559" s="8"/>
    </row>
    <row r="1560" spans="6:8" x14ac:dyDescent="0.25">
      <c r="F1560" s="8"/>
      <c r="H1560" s="8"/>
    </row>
    <row r="1561" spans="6:8" x14ac:dyDescent="0.25">
      <c r="F1561" s="8"/>
      <c r="H1561" s="8"/>
    </row>
    <row r="1562" spans="6:8" x14ac:dyDescent="0.25">
      <c r="F1562" s="8"/>
      <c r="H1562" s="8"/>
    </row>
    <row r="1563" spans="6:8" x14ac:dyDescent="0.25">
      <c r="F1563" s="8"/>
      <c r="H1563" s="8"/>
    </row>
    <row r="1564" spans="6:8" x14ac:dyDescent="0.25">
      <c r="F1564" s="8"/>
      <c r="H1564" s="8"/>
    </row>
    <row r="1565" spans="6:8" x14ac:dyDescent="0.25">
      <c r="F1565" s="8"/>
      <c r="H1565" s="8"/>
    </row>
    <row r="1566" spans="6:8" x14ac:dyDescent="0.25">
      <c r="F1566" s="8"/>
      <c r="H1566" s="8"/>
    </row>
    <row r="1567" spans="6:8" x14ac:dyDescent="0.25">
      <c r="F1567" s="8"/>
      <c r="H1567" s="8"/>
    </row>
    <row r="1568" spans="6:8" x14ac:dyDescent="0.25">
      <c r="F1568" s="8"/>
      <c r="H1568" s="8"/>
    </row>
    <row r="1569" spans="6:8" x14ac:dyDescent="0.25">
      <c r="F1569" s="8"/>
      <c r="H1569" s="8"/>
    </row>
    <row r="1570" spans="6:8" x14ac:dyDescent="0.25">
      <c r="F1570" s="8"/>
      <c r="H1570" s="8"/>
    </row>
    <row r="1571" spans="6:8" x14ac:dyDescent="0.25">
      <c r="F1571" s="8"/>
      <c r="H1571" s="8"/>
    </row>
    <row r="1572" spans="6:8" x14ac:dyDescent="0.25">
      <c r="F1572" s="8"/>
      <c r="H1572" s="8"/>
    </row>
    <row r="1573" spans="6:8" x14ac:dyDescent="0.25">
      <c r="F1573" s="8"/>
      <c r="H1573" s="8"/>
    </row>
    <row r="1574" spans="6:8" x14ac:dyDescent="0.25">
      <c r="F1574" s="8"/>
      <c r="H1574" s="8"/>
    </row>
    <row r="1575" spans="6:8" x14ac:dyDescent="0.25">
      <c r="F1575" s="8"/>
      <c r="H1575" s="8"/>
    </row>
    <row r="1576" spans="6:8" x14ac:dyDescent="0.25">
      <c r="F1576" s="8"/>
      <c r="H1576" s="8"/>
    </row>
    <row r="1577" spans="6:8" x14ac:dyDescent="0.25">
      <c r="F1577" s="8"/>
      <c r="H1577" s="8"/>
    </row>
    <row r="1578" spans="6:8" x14ac:dyDescent="0.25">
      <c r="F1578" s="8"/>
      <c r="H1578" s="8"/>
    </row>
    <row r="1579" spans="6:8" x14ac:dyDescent="0.25">
      <c r="F1579" s="8"/>
      <c r="H1579" s="8"/>
    </row>
    <row r="1580" spans="6:8" x14ac:dyDescent="0.25">
      <c r="F1580" s="8"/>
      <c r="H1580" s="8"/>
    </row>
    <row r="1581" spans="6:8" x14ac:dyDescent="0.25">
      <c r="F1581" s="8"/>
      <c r="H1581" s="8"/>
    </row>
    <row r="1582" spans="6:8" x14ac:dyDescent="0.25">
      <c r="F1582" s="8"/>
      <c r="H1582" s="8"/>
    </row>
    <row r="1583" spans="6:8" x14ac:dyDescent="0.25">
      <c r="F1583" s="8"/>
      <c r="H1583" s="8"/>
    </row>
    <row r="1584" spans="6:8" x14ac:dyDescent="0.25">
      <c r="F1584" s="8"/>
      <c r="H1584" s="8"/>
    </row>
    <row r="1585" spans="6:8" x14ac:dyDescent="0.25">
      <c r="F1585" s="8"/>
      <c r="H1585" s="8"/>
    </row>
    <row r="1586" spans="6:8" x14ac:dyDescent="0.25">
      <c r="F1586" s="8"/>
      <c r="H1586" s="8"/>
    </row>
    <row r="1587" spans="6:8" x14ac:dyDescent="0.25">
      <c r="F1587" s="8"/>
      <c r="H1587" s="8"/>
    </row>
    <row r="1588" spans="6:8" x14ac:dyDescent="0.25">
      <c r="F1588" s="8"/>
      <c r="H1588" s="8"/>
    </row>
    <row r="1589" spans="6:8" x14ac:dyDescent="0.25">
      <c r="F1589" s="8"/>
      <c r="H1589" s="8"/>
    </row>
    <row r="1590" spans="6:8" x14ac:dyDescent="0.25">
      <c r="F1590" s="8"/>
      <c r="H1590" s="8"/>
    </row>
    <row r="1591" spans="6:8" x14ac:dyDescent="0.25">
      <c r="F1591" s="8"/>
      <c r="H1591" s="8"/>
    </row>
    <row r="1592" spans="6:8" x14ac:dyDescent="0.25">
      <c r="F1592" s="8"/>
      <c r="H1592" s="8"/>
    </row>
    <row r="1593" spans="6:8" x14ac:dyDescent="0.25">
      <c r="F1593" s="8"/>
      <c r="H1593" s="8"/>
    </row>
    <row r="1594" spans="6:8" x14ac:dyDescent="0.25">
      <c r="F1594" s="8"/>
      <c r="H1594" s="8"/>
    </row>
    <row r="1595" spans="6:8" x14ac:dyDescent="0.25">
      <c r="F1595" s="8"/>
      <c r="H1595" s="8"/>
    </row>
    <row r="1596" spans="6:8" x14ac:dyDescent="0.25">
      <c r="F1596" s="8"/>
      <c r="H1596" s="8"/>
    </row>
    <row r="1597" spans="6:8" x14ac:dyDescent="0.25">
      <c r="F1597" s="8"/>
      <c r="H1597" s="8"/>
    </row>
    <row r="1598" spans="6:8" x14ac:dyDescent="0.25">
      <c r="F1598" s="8"/>
      <c r="H1598" s="8"/>
    </row>
    <row r="1599" spans="6:8" x14ac:dyDescent="0.25">
      <c r="F1599" s="8"/>
      <c r="H1599" s="8"/>
    </row>
    <row r="1600" spans="6:8" x14ac:dyDescent="0.25">
      <c r="F1600" s="8"/>
      <c r="H1600" s="8"/>
    </row>
    <row r="1601" spans="6:8" x14ac:dyDescent="0.25">
      <c r="F1601" s="8"/>
      <c r="H1601" s="8"/>
    </row>
    <row r="1602" spans="6:8" x14ac:dyDescent="0.25">
      <c r="F1602" s="8"/>
      <c r="H1602" s="8"/>
    </row>
    <row r="1603" spans="6:8" x14ac:dyDescent="0.25">
      <c r="F1603" s="8"/>
      <c r="H1603" s="8"/>
    </row>
    <row r="1604" spans="6:8" x14ac:dyDescent="0.25">
      <c r="F1604" s="8"/>
      <c r="H1604" s="8"/>
    </row>
    <row r="1605" spans="6:8" x14ac:dyDescent="0.25">
      <c r="F1605" s="8"/>
      <c r="H1605" s="8"/>
    </row>
    <row r="1606" spans="6:8" x14ac:dyDescent="0.25">
      <c r="F1606" s="8"/>
      <c r="H1606" s="8"/>
    </row>
    <row r="1607" spans="6:8" x14ac:dyDescent="0.25">
      <c r="F1607" s="8"/>
      <c r="H1607" s="8"/>
    </row>
    <row r="1608" spans="6:8" x14ac:dyDescent="0.25">
      <c r="F1608" s="8"/>
      <c r="H1608" s="8"/>
    </row>
    <row r="1609" spans="6:8" x14ac:dyDescent="0.25">
      <c r="F1609" s="8"/>
      <c r="H1609" s="8"/>
    </row>
    <row r="1610" spans="6:8" x14ac:dyDescent="0.25">
      <c r="F1610" s="8"/>
      <c r="H1610" s="8"/>
    </row>
    <row r="1611" spans="6:8" x14ac:dyDescent="0.25">
      <c r="F1611" s="8"/>
      <c r="H1611" s="8"/>
    </row>
    <row r="1612" spans="6:8" x14ac:dyDescent="0.25">
      <c r="F1612" s="8"/>
      <c r="H1612" s="8"/>
    </row>
    <row r="1613" spans="6:8" x14ac:dyDescent="0.25">
      <c r="F1613" s="8"/>
      <c r="H1613" s="8"/>
    </row>
    <row r="1614" spans="6:8" x14ac:dyDescent="0.25">
      <c r="F1614" s="8"/>
      <c r="H1614" s="8"/>
    </row>
    <row r="1615" spans="6:8" x14ac:dyDescent="0.25">
      <c r="F1615" s="8"/>
      <c r="H1615" s="8"/>
    </row>
    <row r="1616" spans="6:8" x14ac:dyDescent="0.25">
      <c r="F1616" s="8"/>
      <c r="H1616" s="8"/>
    </row>
    <row r="1617" spans="6:8" x14ac:dyDescent="0.25">
      <c r="F1617" s="8"/>
      <c r="H1617" s="8"/>
    </row>
    <row r="1618" spans="6:8" x14ac:dyDescent="0.25">
      <c r="F1618" s="8"/>
      <c r="H1618" s="8"/>
    </row>
    <row r="1619" spans="6:8" x14ac:dyDescent="0.25">
      <c r="F1619" s="8"/>
      <c r="H1619" s="8"/>
    </row>
    <row r="1620" spans="6:8" x14ac:dyDescent="0.25">
      <c r="F1620" s="8"/>
      <c r="H1620" s="8"/>
    </row>
    <row r="1621" spans="6:8" x14ac:dyDescent="0.25">
      <c r="F1621" s="8"/>
      <c r="H1621" s="8"/>
    </row>
    <row r="1622" spans="6:8" x14ac:dyDescent="0.25">
      <c r="F1622" s="8"/>
      <c r="H1622" s="8"/>
    </row>
    <row r="1623" spans="6:8" x14ac:dyDescent="0.25">
      <c r="F1623" s="8"/>
      <c r="H1623" s="8"/>
    </row>
    <row r="1624" spans="6:8" x14ac:dyDescent="0.25">
      <c r="F1624" s="8"/>
      <c r="H1624" s="8"/>
    </row>
    <row r="1625" spans="6:8" x14ac:dyDescent="0.25">
      <c r="F1625" s="8"/>
      <c r="H1625" s="8"/>
    </row>
    <row r="1626" spans="6:8" x14ac:dyDescent="0.25">
      <c r="F1626" s="8"/>
      <c r="H1626" s="8"/>
    </row>
    <row r="1627" spans="6:8" x14ac:dyDescent="0.25">
      <c r="F1627" s="8"/>
      <c r="H1627" s="8"/>
    </row>
    <row r="1628" spans="6:8" x14ac:dyDescent="0.25">
      <c r="F1628" s="8"/>
      <c r="H1628" s="8"/>
    </row>
    <row r="1629" spans="6:8" x14ac:dyDescent="0.25">
      <c r="F1629" s="8"/>
      <c r="H1629" s="8"/>
    </row>
    <row r="1630" spans="6:8" x14ac:dyDescent="0.25">
      <c r="F1630" s="8"/>
      <c r="H1630" s="8"/>
    </row>
    <row r="1631" spans="6:8" x14ac:dyDescent="0.25">
      <c r="F1631" s="8"/>
      <c r="H1631" s="8"/>
    </row>
    <row r="1632" spans="6:8" x14ac:dyDescent="0.25">
      <c r="F1632" s="8"/>
      <c r="H1632" s="8"/>
    </row>
    <row r="1633" spans="6:8" x14ac:dyDescent="0.25">
      <c r="F1633" s="8"/>
      <c r="H1633" s="8"/>
    </row>
    <row r="1634" spans="6:8" x14ac:dyDescent="0.25">
      <c r="F1634" s="8"/>
      <c r="H1634" s="8"/>
    </row>
    <row r="1635" spans="6:8" x14ac:dyDescent="0.25">
      <c r="F1635" s="8"/>
      <c r="H1635" s="8"/>
    </row>
    <row r="1636" spans="6:8" x14ac:dyDescent="0.25">
      <c r="F1636" s="8"/>
      <c r="H1636" s="8"/>
    </row>
    <row r="1637" spans="6:8" x14ac:dyDescent="0.25">
      <c r="F1637" s="8"/>
      <c r="H1637" s="8"/>
    </row>
    <row r="1638" spans="6:8" x14ac:dyDescent="0.25">
      <c r="F1638" s="8"/>
      <c r="H1638" s="8"/>
    </row>
    <row r="1639" spans="6:8" x14ac:dyDescent="0.25">
      <c r="F1639" s="8"/>
      <c r="H1639" s="8"/>
    </row>
    <row r="1640" spans="6:8" x14ac:dyDescent="0.25">
      <c r="F1640" s="8"/>
      <c r="H1640" s="8"/>
    </row>
    <row r="1641" spans="6:8" x14ac:dyDescent="0.25">
      <c r="F1641" s="8"/>
      <c r="H1641" s="8"/>
    </row>
    <row r="1642" spans="6:8" x14ac:dyDescent="0.25">
      <c r="F1642" s="8"/>
      <c r="H1642" s="8"/>
    </row>
    <row r="1643" spans="6:8" x14ac:dyDescent="0.25">
      <c r="F1643" s="8"/>
      <c r="H1643" s="8"/>
    </row>
    <row r="1644" spans="6:8" x14ac:dyDescent="0.25">
      <c r="F1644" s="8"/>
      <c r="H1644" s="8"/>
    </row>
    <row r="1645" spans="6:8" x14ac:dyDescent="0.25">
      <c r="F1645" s="8"/>
      <c r="H1645" s="8"/>
    </row>
    <row r="1646" spans="6:8" x14ac:dyDescent="0.25">
      <c r="F1646" s="8"/>
      <c r="H1646" s="8"/>
    </row>
    <row r="1647" spans="6:8" x14ac:dyDescent="0.25">
      <c r="F1647" s="8"/>
      <c r="H1647" s="8"/>
    </row>
    <row r="1648" spans="6:8" x14ac:dyDescent="0.25">
      <c r="F1648" s="8"/>
      <c r="H1648" s="8"/>
    </row>
    <row r="1649" spans="6:8" x14ac:dyDescent="0.25">
      <c r="F1649" s="8"/>
      <c r="H1649" s="8"/>
    </row>
    <row r="1650" spans="6:8" x14ac:dyDescent="0.25">
      <c r="F1650" s="8"/>
      <c r="H1650" s="8"/>
    </row>
    <row r="1651" spans="6:8" x14ac:dyDescent="0.25">
      <c r="F1651" s="8"/>
      <c r="H1651" s="8"/>
    </row>
    <row r="1652" spans="6:8" x14ac:dyDescent="0.25">
      <c r="F1652" s="8"/>
      <c r="H1652" s="8"/>
    </row>
    <row r="1653" spans="6:8" x14ac:dyDescent="0.25">
      <c r="F1653" s="8"/>
      <c r="H1653" s="8"/>
    </row>
    <row r="1654" spans="6:8" x14ac:dyDescent="0.25">
      <c r="F1654" s="8"/>
      <c r="H1654" s="8"/>
    </row>
    <row r="1655" spans="6:8" x14ac:dyDescent="0.25">
      <c r="F1655" s="8"/>
      <c r="H1655" s="8"/>
    </row>
    <row r="1656" spans="6:8" x14ac:dyDescent="0.25">
      <c r="F1656" s="8"/>
      <c r="H1656" s="8"/>
    </row>
    <row r="1657" spans="6:8" x14ac:dyDescent="0.25">
      <c r="F1657" s="8"/>
      <c r="H1657" s="8"/>
    </row>
    <row r="1658" spans="6:8" x14ac:dyDescent="0.25">
      <c r="F1658" s="8"/>
      <c r="H1658" s="8"/>
    </row>
    <row r="1659" spans="6:8" x14ac:dyDescent="0.25">
      <c r="F1659" s="8"/>
      <c r="H1659" s="8"/>
    </row>
    <row r="1660" spans="6:8" x14ac:dyDescent="0.25">
      <c r="F1660" s="8"/>
      <c r="H1660" s="8"/>
    </row>
    <row r="1661" spans="6:8" x14ac:dyDescent="0.25">
      <c r="F1661" s="8"/>
      <c r="H1661" s="8"/>
    </row>
    <row r="1662" spans="6:8" x14ac:dyDescent="0.25">
      <c r="F1662" s="8"/>
      <c r="H1662" s="8"/>
    </row>
    <row r="1663" spans="6:8" x14ac:dyDescent="0.25">
      <c r="F1663" s="8"/>
      <c r="H1663" s="8"/>
    </row>
    <row r="1664" spans="6:8" x14ac:dyDescent="0.25">
      <c r="F1664" s="8"/>
      <c r="H1664" s="8"/>
    </row>
    <row r="1665" spans="6:8" x14ac:dyDescent="0.25">
      <c r="F1665" s="8"/>
      <c r="H1665" s="8"/>
    </row>
    <row r="1666" spans="6:8" x14ac:dyDescent="0.25">
      <c r="F1666" s="8"/>
      <c r="H1666" s="8"/>
    </row>
    <row r="1667" spans="6:8" x14ac:dyDescent="0.25">
      <c r="F1667" s="8"/>
      <c r="H1667" s="8"/>
    </row>
    <row r="1668" spans="6:8" x14ac:dyDescent="0.25">
      <c r="F1668" s="8"/>
      <c r="H1668" s="8"/>
    </row>
    <row r="1669" spans="6:8" x14ac:dyDescent="0.25">
      <c r="F1669" s="8"/>
      <c r="H1669" s="8"/>
    </row>
    <row r="1670" spans="6:8" x14ac:dyDescent="0.25">
      <c r="F1670" s="8"/>
      <c r="H1670" s="8"/>
    </row>
    <row r="1671" spans="6:8" x14ac:dyDescent="0.25">
      <c r="F1671" s="8"/>
      <c r="H1671" s="8"/>
    </row>
    <row r="1672" spans="6:8" x14ac:dyDescent="0.25">
      <c r="F1672" s="8"/>
      <c r="H1672" s="8"/>
    </row>
    <row r="1673" spans="6:8" x14ac:dyDescent="0.25">
      <c r="F1673" s="8"/>
      <c r="H1673" s="8"/>
    </row>
    <row r="1674" spans="6:8" x14ac:dyDescent="0.25">
      <c r="F1674" s="8"/>
      <c r="H1674" s="8"/>
    </row>
    <row r="1675" spans="6:8" x14ac:dyDescent="0.25">
      <c r="F1675" s="8"/>
      <c r="H1675" s="8"/>
    </row>
    <row r="1676" spans="6:8" x14ac:dyDescent="0.25">
      <c r="F1676" s="8"/>
      <c r="H1676" s="8"/>
    </row>
    <row r="1677" spans="6:8" x14ac:dyDescent="0.25">
      <c r="F1677" s="8"/>
      <c r="H1677" s="8"/>
    </row>
    <row r="1678" spans="6:8" x14ac:dyDescent="0.25">
      <c r="F1678" s="8"/>
      <c r="H1678" s="8"/>
    </row>
    <row r="1679" spans="6:8" x14ac:dyDescent="0.25">
      <c r="F1679" s="8"/>
      <c r="H1679" s="8"/>
    </row>
    <row r="1680" spans="6:8" x14ac:dyDescent="0.25">
      <c r="F1680" s="8"/>
      <c r="H1680" s="8"/>
    </row>
    <row r="1681" spans="6:8" x14ac:dyDescent="0.25">
      <c r="F1681" s="8"/>
      <c r="H1681" s="8"/>
    </row>
    <row r="1682" spans="6:8" x14ac:dyDescent="0.25">
      <c r="F1682" s="8"/>
      <c r="H1682" s="8"/>
    </row>
    <row r="1683" spans="6:8" x14ac:dyDescent="0.25">
      <c r="F1683" s="8"/>
      <c r="H1683" s="8"/>
    </row>
    <row r="1684" spans="6:8" x14ac:dyDescent="0.25">
      <c r="F1684" s="8"/>
      <c r="H1684" s="8"/>
    </row>
    <row r="1685" spans="6:8" x14ac:dyDescent="0.25">
      <c r="F1685" s="8"/>
      <c r="H1685" s="8"/>
    </row>
    <row r="1686" spans="6:8" x14ac:dyDescent="0.25">
      <c r="F1686" s="8"/>
      <c r="H1686" s="8"/>
    </row>
    <row r="1687" spans="6:8" x14ac:dyDescent="0.25">
      <c r="F1687" s="8"/>
      <c r="H1687" s="8"/>
    </row>
    <row r="1688" spans="6:8" x14ac:dyDescent="0.25">
      <c r="F1688" s="8"/>
      <c r="H1688" s="8"/>
    </row>
    <row r="1689" spans="6:8" x14ac:dyDescent="0.25">
      <c r="F1689" s="8"/>
      <c r="H1689" s="8"/>
    </row>
    <row r="1690" spans="6:8" x14ac:dyDescent="0.25">
      <c r="F1690" s="8"/>
      <c r="H1690" s="8"/>
    </row>
    <row r="1691" spans="6:8" x14ac:dyDescent="0.25">
      <c r="F1691" s="8"/>
      <c r="H1691" s="8"/>
    </row>
    <row r="1692" spans="6:8" x14ac:dyDescent="0.25">
      <c r="F1692" s="8"/>
      <c r="H1692" s="8"/>
    </row>
    <row r="1693" spans="6:8" x14ac:dyDescent="0.25">
      <c r="F1693" s="8"/>
      <c r="H1693" s="8"/>
    </row>
    <row r="1694" spans="6:8" x14ac:dyDescent="0.25">
      <c r="F1694" s="8"/>
      <c r="H1694" s="8"/>
    </row>
    <row r="1695" spans="6:8" x14ac:dyDescent="0.25">
      <c r="F1695" s="8"/>
      <c r="H1695" s="8"/>
    </row>
    <row r="1696" spans="6:8" x14ac:dyDescent="0.25">
      <c r="F1696" s="8"/>
      <c r="H1696" s="8"/>
    </row>
    <row r="1697" spans="6:8" x14ac:dyDescent="0.25">
      <c r="F1697" s="8"/>
      <c r="H1697" s="8"/>
    </row>
    <row r="1698" spans="6:8" x14ac:dyDescent="0.25">
      <c r="F1698" s="8"/>
      <c r="H1698" s="8"/>
    </row>
    <row r="1699" spans="6:8" x14ac:dyDescent="0.25">
      <c r="F1699" s="8"/>
      <c r="H1699" s="8"/>
    </row>
    <row r="1700" spans="6:8" x14ac:dyDescent="0.25">
      <c r="F1700" s="8"/>
      <c r="H1700" s="8"/>
    </row>
    <row r="1701" spans="6:8" x14ac:dyDescent="0.25">
      <c r="F1701" s="8"/>
      <c r="H1701" s="8"/>
    </row>
    <row r="1702" spans="6:8" x14ac:dyDescent="0.25">
      <c r="F1702" s="8"/>
      <c r="H1702" s="8"/>
    </row>
    <row r="1703" spans="6:8" x14ac:dyDescent="0.25">
      <c r="F1703" s="8"/>
      <c r="H1703" s="8"/>
    </row>
    <row r="1704" spans="6:8" x14ac:dyDescent="0.25">
      <c r="F1704" s="8"/>
      <c r="H1704" s="8"/>
    </row>
    <row r="1705" spans="6:8" x14ac:dyDescent="0.25">
      <c r="F1705" s="8"/>
      <c r="H1705" s="8"/>
    </row>
    <row r="1706" spans="6:8" x14ac:dyDescent="0.25">
      <c r="F1706" s="8"/>
      <c r="H1706" s="8"/>
    </row>
    <row r="1707" spans="6:8" x14ac:dyDescent="0.25">
      <c r="F1707" s="8"/>
      <c r="H1707" s="8"/>
    </row>
    <row r="1708" spans="6:8" x14ac:dyDescent="0.25">
      <c r="F1708" s="8"/>
      <c r="H1708" s="8"/>
    </row>
    <row r="1709" spans="6:8" x14ac:dyDescent="0.25">
      <c r="F1709" s="8"/>
      <c r="H1709" s="8"/>
    </row>
    <row r="1710" spans="6:8" x14ac:dyDescent="0.25">
      <c r="F1710" s="8"/>
      <c r="H1710" s="8"/>
    </row>
    <row r="1711" spans="6:8" x14ac:dyDescent="0.25">
      <c r="F1711" s="8"/>
      <c r="H1711" s="8"/>
    </row>
    <row r="1712" spans="6:8" x14ac:dyDescent="0.25">
      <c r="F1712" s="8"/>
      <c r="H1712" s="8"/>
    </row>
    <row r="1713" spans="6:8" x14ac:dyDescent="0.25">
      <c r="F1713" s="8"/>
      <c r="H1713" s="8"/>
    </row>
    <row r="1714" spans="6:8" x14ac:dyDescent="0.25">
      <c r="F1714" s="8"/>
      <c r="H1714" s="8"/>
    </row>
    <row r="1715" spans="6:8" x14ac:dyDescent="0.25">
      <c r="F1715" s="8"/>
      <c r="H1715" s="8"/>
    </row>
    <row r="1716" spans="6:8" x14ac:dyDescent="0.25">
      <c r="F1716" s="8"/>
      <c r="H1716" s="8"/>
    </row>
    <row r="1717" spans="6:8" x14ac:dyDescent="0.25">
      <c r="F1717" s="8"/>
      <c r="H1717" s="8"/>
    </row>
    <row r="1718" spans="6:8" x14ac:dyDescent="0.25">
      <c r="F1718" s="8"/>
      <c r="H1718" s="8"/>
    </row>
    <row r="1719" spans="6:8" x14ac:dyDescent="0.25">
      <c r="F1719" s="8"/>
      <c r="H1719" s="8"/>
    </row>
    <row r="1720" spans="6:8" x14ac:dyDescent="0.25">
      <c r="F1720" s="8"/>
      <c r="H1720" s="8"/>
    </row>
    <row r="1721" spans="6:8" x14ac:dyDescent="0.25">
      <c r="F1721" s="8"/>
      <c r="H1721" s="8"/>
    </row>
    <row r="1722" spans="6:8" x14ac:dyDescent="0.25">
      <c r="F1722" s="8"/>
      <c r="H1722" s="8"/>
    </row>
    <row r="1723" spans="6:8" x14ac:dyDescent="0.25">
      <c r="F1723" s="8"/>
      <c r="H1723" s="8"/>
    </row>
    <row r="1724" spans="6:8" x14ac:dyDescent="0.25">
      <c r="F1724" s="8"/>
      <c r="H1724" s="8"/>
    </row>
    <row r="1725" spans="6:8" x14ac:dyDescent="0.25">
      <c r="F1725" s="8"/>
      <c r="H1725" s="8"/>
    </row>
    <row r="1726" spans="6:8" x14ac:dyDescent="0.25">
      <c r="F1726" s="8"/>
      <c r="H1726" s="8"/>
    </row>
    <row r="1727" spans="6:8" x14ac:dyDescent="0.25">
      <c r="F1727" s="8"/>
      <c r="H1727" s="8"/>
    </row>
    <row r="1728" spans="6:8" x14ac:dyDescent="0.25">
      <c r="F1728" s="8"/>
      <c r="H1728" s="8"/>
    </row>
    <row r="1729" spans="6:8" x14ac:dyDescent="0.25">
      <c r="F1729" s="8"/>
      <c r="H1729" s="8"/>
    </row>
    <row r="1730" spans="6:8" x14ac:dyDescent="0.25">
      <c r="F1730" s="8"/>
      <c r="H1730" s="8"/>
    </row>
    <row r="1731" spans="6:8" x14ac:dyDescent="0.25">
      <c r="F1731" s="8"/>
      <c r="H1731" s="8"/>
    </row>
    <row r="1732" spans="6:8" x14ac:dyDescent="0.25">
      <c r="F1732" s="8"/>
      <c r="H1732" s="8"/>
    </row>
    <row r="1733" spans="6:8" x14ac:dyDescent="0.25">
      <c r="F1733" s="8"/>
      <c r="H1733" s="8"/>
    </row>
    <row r="1734" spans="6:8" x14ac:dyDescent="0.25">
      <c r="F1734" s="8"/>
      <c r="H1734" s="8"/>
    </row>
    <row r="1735" spans="6:8" x14ac:dyDescent="0.25">
      <c r="F1735" s="8"/>
      <c r="H1735" s="8"/>
    </row>
    <row r="1736" spans="6:8" x14ac:dyDescent="0.25">
      <c r="F1736" s="8"/>
      <c r="H1736" s="8"/>
    </row>
    <row r="1737" spans="6:8" x14ac:dyDescent="0.25">
      <c r="F1737" s="8"/>
      <c r="H1737" s="8"/>
    </row>
    <row r="1738" spans="6:8" x14ac:dyDescent="0.25">
      <c r="F1738" s="8"/>
      <c r="H1738" s="8"/>
    </row>
    <row r="1739" spans="6:8" x14ac:dyDescent="0.25">
      <c r="F1739" s="8"/>
      <c r="H1739" s="8"/>
    </row>
    <row r="1740" spans="6:8" x14ac:dyDescent="0.25">
      <c r="F1740" s="8"/>
      <c r="H1740" s="8"/>
    </row>
    <row r="1741" spans="6:8" x14ac:dyDescent="0.25">
      <c r="F1741" s="8"/>
      <c r="H1741" s="8"/>
    </row>
    <row r="1742" spans="6:8" x14ac:dyDescent="0.25">
      <c r="F1742" s="8"/>
      <c r="H1742" s="8"/>
    </row>
    <row r="1743" spans="6:8" x14ac:dyDescent="0.25">
      <c r="F1743" s="8"/>
      <c r="H1743" s="8"/>
    </row>
    <row r="1744" spans="6:8" x14ac:dyDescent="0.25">
      <c r="F1744" s="8"/>
      <c r="H1744" s="8"/>
    </row>
    <row r="1745" spans="6:8" x14ac:dyDescent="0.25">
      <c r="F1745" s="8"/>
      <c r="H1745" s="8"/>
    </row>
    <row r="1746" spans="6:8" x14ac:dyDescent="0.25">
      <c r="F1746" s="8"/>
      <c r="H1746" s="8"/>
    </row>
    <row r="1747" spans="6:8" x14ac:dyDescent="0.25">
      <c r="F1747" s="8"/>
      <c r="H1747" s="8"/>
    </row>
    <row r="1748" spans="6:8" x14ac:dyDescent="0.25">
      <c r="F1748" s="8"/>
      <c r="H1748" s="8"/>
    </row>
    <row r="1749" spans="6:8" x14ac:dyDescent="0.25">
      <c r="F1749" s="8"/>
      <c r="H1749" s="8"/>
    </row>
    <row r="1750" spans="6:8" x14ac:dyDescent="0.25">
      <c r="F1750" s="8"/>
      <c r="H1750" s="8"/>
    </row>
    <row r="1751" spans="6:8" x14ac:dyDescent="0.25">
      <c r="F1751" s="8"/>
      <c r="H1751" s="8"/>
    </row>
    <row r="1752" spans="6:8" x14ac:dyDescent="0.25">
      <c r="F1752" s="8"/>
      <c r="H1752" s="8"/>
    </row>
    <row r="1753" spans="6:8" x14ac:dyDescent="0.25">
      <c r="F1753" s="8"/>
      <c r="H1753" s="8"/>
    </row>
    <row r="1754" spans="6:8" x14ac:dyDescent="0.25">
      <c r="F1754" s="8"/>
      <c r="H1754" s="8"/>
    </row>
    <row r="1755" spans="6:8" x14ac:dyDescent="0.25">
      <c r="F1755" s="8"/>
      <c r="H1755" s="8"/>
    </row>
    <row r="1756" spans="6:8" x14ac:dyDescent="0.25">
      <c r="F1756" s="8"/>
      <c r="H1756" s="8"/>
    </row>
    <row r="1757" spans="6:8" x14ac:dyDescent="0.25">
      <c r="F1757" s="8"/>
      <c r="H1757" s="8"/>
    </row>
    <row r="1758" spans="6:8" x14ac:dyDescent="0.25">
      <c r="F1758" s="8"/>
      <c r="H1758" s="8"/>
    </row>
    <row r="1759" spans="6:8" x14ac:dyDescent="0.25">
      <c r="F1759" s="8"/>
      <c r="H1759" s="8"/>
    </row>
    <row r="1760" spans="6:8" x14ac:dyDescent="0.25">
      <c r="F1760" s="8"/>
      <c r="H1760" s="8"/>
    </row>
    <row r="1761" spans="6:8" x14ac:dyDescent="0.25">
      <c r="F1761" s="8"/>
      <c r="H1761" s="8"/>
    </row>
    <row r="1762" spans="6:8" x14ac:dyDescent="0.25">
      <c r="F1762" s="8"/>
      <c r="H1762" s="8"/>
    </row>
    <row r="1763" spans="6:8" x14ac:dyDescent="0.25">
      <c r="F1763" s="8"/>
      <c r="H1763" s="8"/>
    </row>
    <row r="1764" spans="6:8" x14ac:dyDescent="0.25">
      <c r="F1764" s="8"/>
      <c r="H1764" s="8"/>
    </row>
    <row r="1765" spans="6:8" x14ac:dyDescent="0.25">
      <c r="F1765" s="8"/>
      <c r="H1765" s="8"/>
    </row>
    <row r="1766" spans="6:8" x14ac:dyDescent="0.25">
      <c r="F1766" s="8"/>
      <c r="H1766" s="8"/>
    </row>
    <row r="1767" spans="6:8" x14ac:dyDescent="0.25">
      <c r="F1767" s="8"/>
      <c r="H1767" s="8"/>
    </row>
    <row r="1768" spans="6:8" x14ac:dyDescent="0.25">
      <c r="F1768" s="8"/>
      <c r="H1768" s="8"/>
    </row>
    <row r="1769" spans="6:8" x14ac:dyDescent="0.25">
      <c r="F1769" s="8"/>
      <c r="H1769" s="8"/>
    </row>
    <row r="1770" spans="6:8" x14ac:dyDescent="0.25">
      <c r="F1770" s="8"/>
      <c r="H1770" s="8"/>
    </row>
    <row r="1771" spans="6:8" x14ac:dyDescent="0.25">
      <c r="F1771" s="8"/>
      <c r="H1771" s="8"/>
    </row>
    <row r="1772" spans="6:8" x14ac:dyDescent="0.25">
      <c r="F1772" s="8"/>
      <c r="H1772" s="8"/>
    </row>
    <row r="1773" spans="6:8" x14ac:dyDescent="0.25">
      <c r="F1773" s="8"/>
      <c r="H1773" s="8"/>
    </row>
    <row r="1774" spans="6:8" x14ac:dyDescent="0.25">
      <c r="F1774" s="8"/>
      <c r="H1774" s="8"/>
    </row>
    <row r="1775" spans="6:8" x14ac:dyDescent="0.25">
      <c r="F1775" s="8"/>
      <c r="H1775" s="8"/>
    </row>
    <row r="1776" spans="6:8" x14ac:dyDescent="0.25">
      <c r="F1776" s="8"/>
      <c r="H1776" s="8"/>
    </row>
    <row r="1777" spans="6:8" x14ac:dyDescent="0.25">
      <c r="F1777" s="8"/>
      <c r="H1777" s="8"/>
    </row>
    <row r="1778" spans="6:8" x14ac:dyDescent="0.25">
      <c r="F1778" s="8"/>
      <c r="H1778" s="8"/>
    </row>
    <row r="1779" spans="6:8" x14ac:dyDescent="0.25">
      <c r="F1779" s="8"/>
      <c r="H1779" s="8"/>
    </row>
    <row r="1780" spans="6:8" x14ac:dyDescent="0.25">
      <c r="F1780" s="8"/>
      <c r="H1780" s="8"/>
    </row>
    <row r="1781" spans="6:8" x14ac:dyDescent="0.25">
      <c r="F1781" s="8"/>
      <c r="H1781" s="8"/>
    </row>
    <row r="1782" spans="6:8" x14ac:dyDescent="0.25">
      <c r="F1782" s="8"/>
      <c r="H1782" s="8"/>
    </row>
    <row r="1783" spans="6:8" x14ac:dyDescent="0.25">
      <c r="F1783" s="8"/>
      <c r="H1783" s="8"/>
    </row>
    <row r="1784" spans="6:8" x14ac:dyDescent="0.25">
      <c r="F1784" s="8"/>
      <c r="H1784" s="8"/>
    </row>
    <row r="1785" spans="6:8" x14ac:dyDescent="0.25">
      <c r="F1785" s="8"/>
      <c r="H1785" s="8"/>
    </row>
    <row r="1786" spans="6:8" x14ac:dyDescent="0.25">
      <c r="F1786" s="8"/>
      <c r="H1786" s="8"/>
    </row>
    <row r="1787" spans="6:8" x14ac:dyDescent="0.25">
      <c r="F1787" s="8"/>
      <c r="H1787" s="8"/>
    </row>
    <row r="1788" spans="6:8" x14ac:dyDescent="0.25">
      <c r="F1788" s="8"/>
      <c r="H1788" s="8"/>
    </row>
    <row r="1789" spans="6:8" x14ac:dyDescent="0.25">
      <c r="F1789" s="8"/>
      <c r="H1789" s="8"/>
    </row>
    <row r="1790" spans="6:8" x14ac:dyDescent="0.25">
      <c r="F1790" s="8"/>
      <c r="H1790" s="8"/>
    </row>
    <row r="1791" spans="6:8" x14ac:dyDescent="0.25">
      <c r="F1791" s="8"/>
      <c r="H1791" s="8"/>
    </row>
    <row r="1792" spans="6:8" x14ac:dyDescent="0.25">
      <c r="F1792" s="8"/>
      <c r="H1792" s="8"/>
    </row>
    <row r="1793" spans="6:8" x14ac:dyDescent="0.25">
      <c r="F1793" s="8"/>
      <c r="H1793" s="8"/>
    </row>
    <row r="1794" spans="6:8" x14ac:dyDescent="0.25">
      <c r="F1794" s="8"/>
      <c r="H1794" s="8"/>
    </row>
    <row r="1795" spans="6:8" x14ac:dyDescent="0.25">
      <c r="F1795" s="8"/>
      <c r="H1795" s="8"/>
    </row>
    <row r="1796" spans="6:8" x14ac:dyDescent="0.25">
      <c r="F1796" s="8"/>
      <c r="H1796" s="8"/>
    </row>
    <row r="1797" spans="6:8" x14ac:dyDescent="0.25">
      <c r="F1797" s="8"/>
      <c r="H1797" s="8"/>
    </row>
    <row r="1798" spans="6:8" x14ac:dyDescent="0.25">
      <c r="F1798" s="8"/>
      <c r="H1798" s="8"/>
    </row>
    <row r="1799" spans="6:8" x14ac:dyDescent="0.25">
      <c r="F1799" s="8"/>
      <c r="H1799" s="8"/>
    </row>
    <row r="1800" spans="6:8" x14ac:dyDescent="0.25">
      <c r="F1800" s="8"/>
      <c r="H1800" s="8"/>
    </row>
    <row r="1801" spans="6:8" x14ac:dyDescent="0.25">
      <c r="F1801" s="8"/>
      <c r="H1801" s="8"/>
    </row>
    <row r="1802" spans="6:8" x14ac:dyDescent="0.25">
      <c r="F1802" s="8"/>
      <c r="H1802" s="8"/>
    </row>
    <row r="1803" spans="6:8" x14ac:dyDescent="0.25">
      <c r="F1803" s="8"/>
      <c r="H1803" s="8"/>
    </row>
    <row r="1804" spans="6:8" x14ac:dyDescent="0.25">
      <c r="F1804" s="8"/>
      <c r="H1804" s="8"/>
    </row>
    <row r="1805" spans="6:8" x14ac:dyDescent="0.25">
      <c r="F1805" s="8"/>
      <c r="H1805" s="8"/>
    </row>
    <row r="1806" spans="6:8" x14ac:dyDescent="0.25">
      <c r="F1806" s="8"/>
      <c r="H1806" s="8"/>
    </row>
    <row r="1807" spans="6:8" x14ac:dyDescent="0.25">
      <c r="F1807" s="8"/>
      <c r="H1807" s="8"/>
    </row>
    <row r="1808" spans="6:8" x14ac:dyDescent="0.25">
      <c r="F1808" s="8"/>
      <c r="H1808" s="8"/>
    </row>
    <row r="1809" spans="6:8" x14ac:dyDescent="0.25">
      <c r="F1809" s="8"/>
      <c r="H1809" s="8"/>
    </row>
    <row r="1810" spans="6:8" x14ac:dyDescent="0.25">
      <c r="F1810" s="8"/>
      <c r="H1810" s="8"/>
    </row>
    <row r="1811" spans="6:8" x14ac:dyDescent="0.25">
      <c r="F1811" s="8"/>
      <c r="H1811" s="8"/>
    </row>
    <row r="1812" spans="6:8" x14ac:dyDescent="0.25">
      <c r="F1812" s="8"/>
      <c r="H1812" s="8"/>
    </row>
    <row r="1813" spans="6:8" x14ac:dyDescent="0.25">
      <c r="F1813" s="8"/>
      <c r="H1813" s="8"/>
    </row>
    <row r="1814" spans="6:8" x14ac:dyDescent="0.25">
      <c r="F1814" s="8"/>
      <c r="H1814" s="8"/>
    </row>
    <row r="1815" spans="6:8" x14ac:dyDescent="0.25">
      <c r="F1815" s="8"/>
      <c r="H1815" s="8"/>
    </row>
    <row r="1816" spans="6:8" x14ac:dyDescent="0.25">
      <c r="F1816" s="8"/>
      <c r="H1816" s="8"/>
    </row>
    <row r="1817" spans="6:8" x14ac:dyDescent="0.25">
      <c r="F1817" s="8"/>
      <c r="H1817" s="8"/>
    </row>
    <row r="1818" spans="6:8" x14ac:dyDescent="0.25">
      <c r="F1818" s="8"/>
      <c r="H1818" s="8"/>
    </row>
    <row r="1819" spans="6:8" x14ac:dyDescent="0.25">
      <c r="F1819" s="8"/>
      <c r="H1819" s="8"/>
    </row>
    <row r="1820" spans="6:8" x14ac:dyDescent="0.25">
      <c r="F1820" s="8"/>
      <c r="H1820" s="8"/>
    </row>
    <row r="1821" spans="6:8" x14ac:dyDescent="0.25">
      <c r="F1821" s="8"/>
      <c r="H1821" s="8"/>
    </row>
    <row r="1822" spans="6:8" x14ac:dyDescent="0.25">
      <c r="F1822" s="8"/>
      <c r="H1822" s="8"/>
    </row>
    <row r="1823" spans="6:8" x14ac:dyDescent="0.25">
      <c r="F1823" s="8"/>
      <c r="H1823" s="8"/>
    </row>
    <row r="1824" spans="6:8" x14ac:dyDescent="0.25">
      <c r="F1824" s="8"/>
      <c r="H1824" s="8"/>
    </row>
    <row r="1825" spans="6:8" x14ac:dyDescent="0.25">
      <c r="F1825" s="8"/>
      <c r="H1825" s="8"/>
    </row>
    <row r="1826" spans="6:8" x14ac:dyDescent="0.25">
      <c r="F1826" s="8"/>
      <c r="H1826" s="8"/>
    </row>
    <row r="1827" spans="6:8" x14ac:dyDescent="0.25">
      <c r="F1827" s="8"/>
      <c r="H1827" s="8"/>
    </row>
    <row r="1828" spans="6:8" x14ac:dyDescent="0.25">
      <c r="F1828" s="8"/>
      <c r="H1828" s="8"/>
    </row>
    <row r="1829" spans="6:8" x14ac:dyDescent="0.25">
      <c r="F1829" s="8"/>
      <c r="H1829" s="8"/>
    </row>
    <row r="1830" spans="6:8" x14ac:dyDescent="0.25">
      <c r="F1830" s="8"/>
      <c r="H1830" s="8"/>
    </row>
    <row r="1831" spans="6:8" x14ac:dyDescent="0.25">
      <c r="F1831" s="8"/>
      <c r="H1831" s="8"/>
    </row>
    <row r="1832" spans="6:8" x14ac:dyDescent="0.25">
      <c r="F1832" s="8"/>
      <c r="H1832" s="8"/>
    </row>
    <row r="1833" spans="6:8" x14ac:dyDescent="0.25">
      <c r="F1833" s="8"/>
      <c r="H1833" s="8"/>
    </row>
    <row r="1834" spans="6:8" x14ac:dyDescent="0.25">
      <c r="F1834" s="8"/>
      <c r="H1834" s="8"/>
    </row>
    <row r="1835" spans="6:8" x14ac:dyDescent="0.25">
      <c r="F1835" s="8"/>
      <c r="H1835" s="8"/>
    </row>
    <row r="1836" spans="6:8" x14ac:dyDescent="0.25">
      <c r="F1836" s="8"/>
      <c r="H1836" s="8"/>
    </row>
    <row r="1837" spans="6:8" x14ac:dyDescent="0.25">
      <c r="F1837" s="8"/>
      <c r="H1837" s="8"/>
    </row>
    <row r="1838" spans="6:8" x14ac:dyDescent="0.25">
      <c r="F1838" s="8"/>
      <c r="H1838" s="8"/>
    </row>
    <row r="1839" spans="6:8" x14ac:dyDescent="0.25">
      <c r="F1839" s="8"/>
      <c r="H1839" s="8"/>
    </row>
    <row r="1840" spans="6:8" x14ac:dyDescent="0.25">
      <c r="F1840" s="8"/>
      <c r="H1840" s="8"/>
    </row>
    <row r="1841" spans="6:8" x14ac:dyDescent="0.25">
      <c r="F1841" s="8"/>
      <c r="H1841" s="8"/>
    </row>
    <row r="1842" spans="6:8" x14ac:dyDescent="0.25">
      <c r="F1842" s="8"/>
      <c r="H1842" s="8"/>
    </row>
    <row r="1843" spans="6:8" x14ac:dyDescent="0.25">
      <c r="F1843" s="8"/>
      <c r="H1843" s="8"/>
    </row>
    <row r="1844" spans="6:8" x14ac:dyDescent="0.25">
      <c r="F1844" s="8"/>
      <c r="H1844" s="8"/>
    </row>
    <row r="1845" spans="6:8" x14ac:dyDescent="0.25">
      <c r="F1845" s="8"/>
      <c r="H1845" s="8"/>
    </row>
    <row r="1846" spans="6:8" x14ac:dyDescent="0.25">
      <c r="F1846" s="8"/>
      <c r="H1846" s="8"/>
    </row>
    <row r="1847" spans="6:8" x14ac:dyDescent="0.25">
      <c r="F1847" s="8"/>
      <c r="H1847" s="8"/>
    </row>
    <row r="1848" spans="6:8" x14ac:dyDescent="0.25">
      <c r="F1848" s="8"/>
      <c r="H1848" s="8"/>
    </row>
    <row r="1849" spans="6:8" x14ac:dyDescent="0.25">
      <c r="F1849" s="8"/>
      <c r="H1849" s="8"/>
    </row>
    <row r="1850" spans="6:8" x14ac:dyDescent="0.25">
      <c r="F1850" s="8"/>
      <c r="H1850" s="8"/>
    </row>
    <row r="1851" spans="6:8" x14ac:dyDescent="0.25">
      <c r="F1851" s="8"/>
      <c r="H1851" s="8"/>
    </row>
    <row r="1852" spans="6:8" x14ac:dyDescent="0.25">
      <c r="F1852" s="8"/>
      <c r="H1852" s="8"/>
    </row>
    <row r="1853" spans="6:8" x14ac:dyDescent="0.25">
      <c r="F1853" s="8"/>
      <c r="H1853" s="8"/>
    </row>
    <row r="1854" spans="6:8" x14ac:dyDescent="0.25">
      <c r="F1854" s="8"/>
      <c r="H1854" s="8"/>
    </row>
    <row r="1855" spans="6:8" x14ac:dyDescent="0.25">
      <c r="F1855" s="8"/>
      <c r="H1855" s="8"/>
    </row>
    <row r="1856" spans="6:8" x14ac:dyDescent="0.25">
      <c r="F1856" s="8"/>
      <c r="H1856" s="8"/>
    </row>
    <row r="1857" spans="6:8" x14ac:dyDescent="0.25">
      <c r="F1857" s="8"/>
      <c r="H1857" s="8"/>
    </row>
    <row r="1858" spans="6:8" x14ac:dyDescent="0.25">
      <c r="F1858" s="8"/>
      <c r="H1858" s="8"/>
    </row>
    <row r="1859" spans="6:8" x14ac:dyDescent="0.25">
      <c r="F1859" s="8"/>
      <c r="H1859" s="8"/>
    </row>
    <row r="1860" spans="6:8" x14ac:dyDescent="0.25">
      <c r="F1860" s="8"/>
      <c r="H1860" s="8"/>
    </row>
    <row r="1861" spans="6:8" x14ac:dyDescent="0.25">
      <c r="F1861" s="8"/>
      <c r="H1861" s="8"/>
    </row>
    <row r="1862" spans="6:8" x14ac:dyDescent="0.25">
      <c r="F1862" s="8"/>
      <c r="H1862" s="8"/>
    </row>
    <row r="1863" spans="6:8" x14ac:dyDescent="0.25">
      <c r="F1863" s="8"/>
      <c r="H1863" s="8"/>
    </row>
    <row r="1864" spans="6:8" x14ac:dyDescent="0.25">
      <c r="F1864" s="8"/>
      <c r="H1864" s="8"/>
    </row>
    <row r="1865" spans="6:8" x14ac:dyDescent="0.25">
      <c r="F1865" s="8"/>
      <c r="H1865" s="8"/>
    </row>
    <row r="1866" spans="6:8" x14ac:dyDescent="0.25">
      <c r="F1866" s="8"/>
      <c r="H1866" s="8"/>
    </row>
    <row r="1867" spans="6:8" x14ac:dyDescent="0.25">
      <c r="F1867" s="8"/>
      <c r="H1867" s="8"/>
    </row>
    <row r="1868" spans="6:8" x14ac:dyDescent="0.25">
      <c r="F1868" s="8"/>
      <c r="H1868" s="8"/>
    </row>
    <row r="1869" spans="6:8" x14ac:dyDescent="0.25">
      <c r="F1869" s="8"/>
      <c r="H1869" s="8"/>
    </row>
    <row r="1870" spans="6:8" x14ac:dyDescent="0.25">
      <c r="F1870" s="8"/>
      <c r="H1870" s="8"/>
    </row>
    <row r="1871" spans="6:8" x14ac:dyDescent="0.25">
      <c r="F1871" s="8"/>
      <c r="H1871" s="8"/>
    </row>
    <row r="1872" spans="6:8" x14ac:dyDescent="0.25">
      <c r="F1872" s="8"/>
      <c r="H1872" s="8"/>
    </row>
    <row r="1873" spans="6:8" x14ac:dyDescent="0.25">
      <c r="F1873" s="8"/>
      <c r="H1873" s="8"/>
    </row>
    <row r="1874" spans="6:8" x14ac:dyDescent="0.25">
      <c r="F1874" s="8"/>
      <c r="H1874" s="8"/>
    </row>
    <row r="1875" spans="6:8" x14ac:dyDescent="0.25">
      <c r="F1875" s="8"/>
      <c r="H1875" s="8"/>
    </row>
    <row r="1876" spans="6:8" x14ac:dyDescent="0.25">
      <c r="F1876" s="8"/>
      <c r="H1876" s="8"/>
    </row>
    <row r="1877" spans="6:8" x14ac:dyDescent="0.25">
      <c r="F1877" s="8"/>
      <c r="H1877" s="8"/>
    </row>
    <row r="1878" spans="6:8" x14ac:dyDescent="0.25">
      <c r="F1878" s="8"/>
      <c r="H1878" s="8"/>
    </row>
    <row r="1879" spans="6:8" x14ac:dyDescent="0.25">
      <c r="F1879" s="8"/>
      <c r="H1879" s="8"/>
    </row>
    <row r="1880" spans="6:8" x14ac:dyDescent="0.25">
      <c r="F1880" s="8"/>
      <c r="H1880" s="8"/>
    </row>
    <row r="1881" spans="6:8" x14ac:dyDescent="0.25">
      <c r="F1881" s="8"/>
      <c r="H1881" s="8"/>
    </row>
    <row r="1882" spans="6:8" x14ac:dyDescent="0.25">
      <c r="F1882" s="8"/>
      <c r="H1882" s="8"/>
    </row>
    <row r="1883" spans="6:8" x14ac:dyDescent="0.25">
      <c r="F1883" s="8"/>
      <c r="H1883" s="8"/>
    </row>
    <row r="1884" spans="6:8" x14ac:dyDescent="0.25">
      <c r="F1884" s="8"/>
      <c r="H1884" s="8"/>
    </row>
    <row r="1885" spans="6:8" x14ac:dyDescent="0.25">
      <c r="F1885" s="8"/>
      <c r="H1885" s="8"/>
    </row>
    <row r="1886" spans="6:8" x14ac:dyDescent="0.25">
      <c r="F1886" s="8"/>
      <c r="H1886" s="8"/>
    </row>
    <row r="1887" spans="6:8" x14ac:dyDescent="0.25">
      <c r="F1887" s="8"/>
      <c r="H1887" s="8"/>
    </row>
    <row r="1888" spans="6:8" x14ac:dyDescent="0.25">
      <c r="F1888" s="8"/>
      <c r="H1888" s="8"/>
    </row>
    <row r="1889" spans="6:8" x14ac:dyDescent="0.25">
      <c r="F1889" s="8"/>
      <c r="H1889" s="8"/>
    </row>
    <row r="1890" spans="6:8" x14ac:dyDescent="0.25">
      <c r="F1890" s="8"/>
      <c r="H1890" s="8"/>
    </row>
    <row r="1891" spans="6:8" x14ac:dyDescent="0.25">
      <c r="F1891" s="8"/>
      <c r="H1891" s="8"/>
    </row>
    <row r="1892" spans="6:8" x14ac:dyDescent="0.25">
      <c r="F1892" s="8"/>
      <c r="H1892" s="8"/>
    </row>
    <row r="1893" spans="6:8" x14ac:dyDescent="0.25">
      <c r="F1893" s="8"/>
      <c r="H1893" s="8"/>
    </row>
    <row r="1894" spans="6:8" x14ac:dyDescent="0.25">
      <c r="F1894" s="8"/>
      <c r="H1894" s="8"/>
    </row>
    <row r="1895" spans="6:8" x14ac:dyDescent="0.25">
      <c r="F1895" s="8"/>
      <c r="H1895" s="8"/>
    </row>
    <row r="1896" spans="6:8" x14ac:dyDescent="0.25">
      <c r="F1896" s="8"/>
      <c r="H1896" s="8"/>
    </row>
    <row r="1897" spans="6:8" x14ac:dyDescent="0.25">
      <c r="F1897" s="8"/>
      <c r="H1897" s="8"/>
    </row>
    <row r="1898" spans="6:8" x14ac:dyDescent="0.25">
      <c r="F1898" s="8"/>
      <c r="H1898" s="8"/>
    </row>
    <row r="1899" spans="6:8" x14ac:dyDescent="0.25">
      <c r="F1899" s="8"/>
      <c r="H1899" s="8"/>
    </row>
    <row r="1900" spans="6:8" x14ac:dyDescent="0.25">
      <c r="F1900" s="8"/>
      <c r="H1900" s="8"/>
    </row>
    <row r="1901" spans="6:8" x14ac:dyDescent="0.25">
      <c r="F1901" s="8"/>
      <c r="H1901" s="8"/>
    </row>
    <row r="1902" spans="6:8" x14ac:dyDescent="0.25">
      <c r="F1902" s="8"/>
      <c r="H1902" s="8"/>
    </row>
    <row r="1903" spans="6:8" x14ac:dyDescent="0.25">
      <c r="F1903" s="8"/>
      <c r="H1903" s="8"/>
    </row>
    <row r="1904" spans="6:8" x14ac:dyDescent="0.25">
      <c r="F1904" s="8"/>
      <c r="H1904" s="8"/>
    </row>
    <row r="1905" spans="6:8" x14ac:dyDescent="0.25">
      <c r="F1905" s="8"/>
      <c r="H1905" s="8"/>
    </row>
    <row r="1906" spans="6:8" x14ac:dyDescent="0.25">
      <c r="F1906" s="8"/>
      <c r="H1906" s="8"/>
    </row>
    <row r="1907" spans="6:8" x14ac:dyDescent="0.25">
      <c r="F1907" s="8"/>
      <c r="H1907" s="8"/>
    </row>
    <row r="1908" spans="6:8" x14ac:dyDescent="0.25">
      <c r="F1908" s="8"/>
      <c r="H1908" s="8"/>
    </row>
    <row r="1909" spans="6:8" x14ac:dyDescent="0.25">
      <c r="F1909" s="8"/>
      <c r="H1909" s="8"/>
    </row>
    <row r="1910" spans="6:8" x14ac:dyDescent="0.25">
      <c r="F1910" s="8"/>
      <c r="H1910" s="8"/>
    </row>
    <row r="1911" spans="6:8" x14ac:dyDescent="0.25">
      <c r="F1911" s="8"/>
      <c r="H1911" s="8"/>
    </row>
    <row r="1912" spans="6:8" x14ac:dyDescent="0.25">
      <c r="F1912" s="8"/>
      <c r="H1912" s="8"/>
    </row>
    <row r="1913" spans="6:8" x14ac:dyDescent="0.25">
      <c r="F1913" s="8"/>
      <c r="H1913" s="8"/>
    </row>
    <row r="1914" spans="6:8" x14ac:dyDescent="0.25">
      <c r="F1914" s="8"/>
      <c r="H1914" s="8"/>
    </row>
    <row r="1915" spans="6:8" x14ac:dyDescent="0.25">
      <c r="F1915" s="8"/>
      <c r="H1915" s="8"/>
    </row>
    <row r="1916" spans="6:8" x14ac:dyDescent="0.25">
      <c r="F1916" s="8"/>
      <c r="H1916" s="8"/>
    </row>
    <row r="1917" spans="6:8" x14ac:dyDescent="0.25">
      <c r="F1917" s="8"/>
      <c r="H1917" s="8"/>
    </row>
    <row r="1918" spans="6:8" x14ac:dyDescent="0.25">
      <c r="F1918" s="8"/>
      <c r="H1918" s="8"/>
    </row>
    <row r="1919" spans="6:8" x14ac:dyDescent="0.25">
      <c r="F1919" s="8"/>
      <c r="H1919" s="8"/>
    </row>
    <row r="1920" spans="6:8" x14ac:dyDescent="0.25">
      <c r="F1920" s="8"/>
      <c r="H1920" s="8"/>
    </row>
    <row r="1921" spans="6:8" x14ac:dyDescent="0.25">
      <c r="F1921" s="8"/>
      <c r="H1921" s="8"/>
    </row>
    <row r="1922" spans="6:8" x14ac:dyDescent="0.25">
      <c r="F1922" s="8"/>
      <c r="H1922" s="8"/>
    </row>
    <row r="1923" spans="6:8" x14ac:dyDescent="0.25">
      <c r="F1923" s="8"/>
      <c r="H1923" s="8"/>
    </row>
    <row r="1924" spans="6:8" x14ac:dyDescent="0.25">
      <c r="F1924" s="8"/>
      <c r="H1924" s="8"/>
    </row>
    <row r="1925" spans="6:8" x14ac:dyDescent="0.25">
      <c r="F1925" s="8"/>
      <c r="H1925" s="8"/>
    </row>
    <row r="1926" spans="6:8" x14ac:dyDescent="0.25">
      <c r="F1926" s="8"/>
      <c r="H1926" s="8"/>
    </row>
    <row r="1927" spans="6:8" x14ac:dyDescent="0.25">
      <c r="F1927" s="8"/>
      <c r="H1927" s="8"/>
    </row>
    <row r="1928" spans="6:8" x14ac:dyDescent="0.25">
      <c r="F1928" s="8"/>
      <c r="H1928" s="8"/>
    </row>
    <row r="1929" spans="6:8" x14ac:dyDescent="0.25">
      <c r="F1929" s="8"/>
      <c r="H1929" s="8"/>
    </row>
    <row r="1930" spans="6:8" x14ac:dyDescent="0.25">
      <c r="F1930" s="8"/>
      <c r="H1930" s="8"/>
    </row>
    <row r="1931" spans="6:8" x14ac:dyDescent="0.25">
      <c r="F1931" s="8"/>
      <c r="H1931" s="8"/>
    </row>
    <row r="1932" spans="6:8" x14ac:dyDescent="0.25">
      <c r="F1932" s="8"/>
      <c r="H1932" s="8"/>
    </row>
    <row r="1933" spans="6:8" x14ac:dyDescent="0.25">
      <c r="F1933" s="8"/>
      <c r="H1933" s="8"/>
    </row>
    <row r="1934" spans="6:8" x14ac:dyDescent="0.25">
      <c r="F1934" s="8"/>
      <c r="H1934" s="8"/>
    </row>
    <row r="1935" spans="6:8" x14ac:dyDescent="0.25">
      <c r="F1935" s="8"/>
      <c r="H1935" s="8"/>
    </row>
    <row r="1936" spans="6:8" x14ac:dyDescent="0.25">
      <c r="F1936" s="8"/>
      <c r="H1936" s="8"/>
    </row>
    <row r="1937" spans="6:8" x14ac:dyDescent="0.25">
      <c r="F1937" s="8"/>
      <c r="H1937" s="8"/>
    </row>
    <row r="1938" spans="6:8" x14ac:dyDescent="0.25">
      <c r="F1938" s="8"/>
      <c r="H1938" s="8"/>
    </row>
    <row r="1939" spans="6:8" x14ac:dyDescent="0.25">
      <c r="F1939" s="8"/>
      <c r="H1939" s="8"/>
    </row>
    <row r="1940" spans="6:8" x14ac:dyDescent="0.25">
      <c r="F1940" s="8"/>
      <c r="H1940" s="8"/>
    </row>
    <row r="1941" spans="6:8" x14ac:dyDescent="0.25">
      <c r="F1941" s="8"/>
      <c r="H1941" s="8"/>
    </row>
    <row r="1942" spans="6:8" x14ac:dyDescent="0.25">
      <c r="F1942" s="8"/>
      <c r="H1942" s="8"/>
    </row>
    <row r="1943" spans="6:8" x14ac:dyDescent="0.25">
      <c r="F1943" s="8"/>
      <c r="H1943" s="8"/>
    </row>
    <row r="1944" spans="6:8" x14ac:dyDescent="0.25">
      <c r="F1944" s="8"/>
      <c r="H1944" s="8"/>
    </row>
    <row r="1945" spans="6:8" x14ac:dyDescent="0.25">
      <c r="F1945" s="8"/>
      <c r="H1945" s="8"/>
    </row>
    <row r="1946" spans="6:8" x14ac:dyDescent="0.25">
      <c r="F1946" s="8"/>
      <c r="H1946" s="8"/>
    </row>
    <row r="1947" spans="6:8" x14ac:dyDescent="0.25">
      <c r="F1947" s="8"/>
      <c r="H1947" s="8"/>
    </row>
    <row r="1948" spans="6:8" x14ac:dyDescent="0.25">
      <c r="F1948" s="8"/>
      <c r="H1948" s="8"/>
    </row>
    <row r="1949" spans="6:8" x14ac:dyDescent="0.25">
      <c r="F1949" s="8"/>
      <c r="H1949" s="8"/>
    </row>
    <row r="1950" spans="6:8" x14ac:dyDescent="0.25">
      <c r="F1950" s="8"/>
      <c r="H1950" s="8"/>
    </row>
    <row r="1951" spans="6:8" x14ac:dyDescent="0.25">
      <c r="F1951" s="8"/>
      <c r="H1951" s="8"/>
    </row>
    <row r="1952" spans="6:8" x14ac:dyDescent="0.25">
      <c r="F1952" s="8"/>
      <c r="H1952" s="8"/>
    </row>
    <row r="1953" spans="6:8" x14ac:dyDescent="0.25">
      <c r="F1953" s="8"/>
      <c r="H1953" s="8"/>
    </row>
    <row r="1954" spans="6:8" x14ac:dyDescent="0.25">
      <c r="F1954" s="8"/>
      <c r="H1954" s="8"/>
    </row>
    <row r="1955" spans="6:8" x14ac:dyDescent="0.25">
      <c r="F1955" s="8"/>
      <c r="H1955" s="8"/>
    </row>
    <row r="1956" spans="6:8" x14ac:dyDescent="0.25">
      <c r="F1956" s="8"/>
      <c r="H1956" s="8"/>
    </row>
    <row r="1957" spans="6:8" x14ac:dyDescent="0.25">
      <c r="F1957" s="8"/>
      <c r="H1957" s="8"/>
    </row>
    <row r="1958" spans="6:8" x14ac:dyDescent="0.25">
      <c r="F1958" s="8"/>
      <c r="H1958" s="8"/>
    </row>
    <row r="1959" spans="6:8" x14ac:dyDescent="0.25">
      <c r="F1959" s="8"/>
      <c r="H1959" s="8"/>
    </row>
    <row r="1960" spans="6:8" x14ac:dyDescent="0.25">
      <c r="F1960" s="8"/>
      <c r="H1960" s="8"/>
    </row>
    <row r="1961" spans="6:8" x14ac:dyDescent="0.25">
      <c r="F1961" s="8"/>
      <c r="H1961" s="8"/>
    </row>
    <row r="1962" spans="6:8" x14ac:dyDescent="0.25">
      <c r="F1962" s="8"/>
      <c r="H1962" s="8"/>
    </row>
    <row r="1963" spans="6:8" x14ac:dyDescent="0.25">
      <c r="F1963" s="8"/>
      <c r="H1963" s="8"/>
    </row>
    <row r="1964" spans="6:8" x14ac:dyDescent="0.25">
      <c r="F1964" s="8"/>
      <c r="H1964" s="8"/>
    </row>
    <row r="1965" spans="6:8" x14ac:dyDescent="0.25">
      <c r="F1965" s="8"/>
      <c r="H1965" s="8"/>
    </row>
    <row r="1966" spans="6:8" x14ac:dyDescent="0.25">
      <c r="F1966" s="8"/>
      <c r="H1966" s="8"/>
    </row>
    <row r="1967" spans="6:8" x14ac:dyDescent="0.25">
      <c r="F1967" s="8"/>
      <c r="H1967" s="8"/>
    </row>
    <row r="1968" spans="6:8" x14ac:dyDescent="0.25">
      <c r="F1968" s="8"/>
      <c r="H1968" s="8"/>
    </row>
    <row r="1969" spans="6:8" x14ac:dyDescent="0.25">
      <c r="F1969" s="8"/>
      <c r="H1969" s="8"/>
    </row>
    <row r="1970" spans="6:8" x14ac:dyDescent="0.25">
      <c r="F1970" s="8"/>
      <c r="H1970" s="8"/>
    </row>
    <row r="1971" spans="6:8" x14ac:dyDescent="0.25">
      <c r="F1971" s="8"/>
      <c r="H1971" s="8"/>
    </row>
    <row r="1972" spans="6:8" x14ac:dyDescent="0.25">
      <c r="F1972" s="8"/>
      <c r="H1972" s="8"/>
    </row>
    <row r="1973" spans="6:8" x14ac:dyDescent="0.25">
      <c r="F1973" s="8"/>
      <c r="H1973" s="8"/>
    </row>
    <row r="1974" spans="6:8" x14ac:dyDescent="0.25">
      <c r="F1974" s="8"/>
      <c r="H1974" s="8"/>
    </row>
    <row r="1975" spans="6:8" x14ac:dyDescent="0.25">
      <c r="F1975" s="8"/>
      <c r="H1975" s="8"/>
    </row>
    <row r="1976" spans="6:8" x14ac:dyDescent="0.25">
      <c r="F1976" s="8"/>
      <c r="H1976" s="8"/>
    </row>
    <row r="1977" spans="6:8" x14ac:dyDescent="0.25">
      <c r="F1977" s="8"/>
      <c r="H1977" s="8"/>
    </row>
    <row r="1978" spans="6:8" x14ac:dyDescent="0.25">
      <c r="F1978" s="8"/>
      <c r="H1978" s="8"/>
    </row>
    <row r="1979" spans="6:8" x14ac:dyDescent="0.25">
      <c r="F1979" s="8"/>
      <c r="H1979" s="8"/>
    </row>
    <row r="1980" spans="6:8" x14ac:dyDescent="0.25">
      <c r="F1980" s="8"/>
      <c r="H1980" s="8"/>
    </row>
    <row r="1981" spans="6:8" x14ac:dyDescent="0.25">
      <c r="F1981" s="8"/>
      <c r="H1981" s="8"/>
    </row>
    <row r="1982" spans="6:8" x14ac:dyDescent="0.25">
      <c r="F1982" s="8"/>
      <c r="H1982" s="8"/>
    </row>
    <row r="1983" spans="6:8" x14ac:dyDescent="0.25">
      <c r="F1983" s="8"/>
      <c r="H1983" s="8"/>
    </row>
    <row r="1984" spans="6:8" x14ac:dyDescent="0.25">
      <c r="F1984" s="8"/>
      <c r="H1984" s="8"/>
    </row>
    <row r="1985" spans="6:8" x14ac:dyDescent="0.25">
      <c r="F1985" s="8"/>
      <c r="H1985" s="8"/>
    </row>
    <row r="1986" spans="6:8" x14ac:dyDescent="0.25">
      <c r="F1986" s="8"/>
      <c r="H1986" s="8"/>
    </row>
    <row r="1987" spans="6:8" x14ac:dyDescent="0.25">
      <c r="F1987" s="8"/>
      <c r="H1987" s="8"/>
    </row>
    <row r="1988" spans="6:8" x14ac:dyDescent="0.25">
      <c r="F1988" s="8"/>
      <c r="H1988" s="8"/>
    </row>
    <row r="1989" spans="6:8" x14ac:dyDescent="0.25">
      <c r="F1989" s="8"/>
      <c r="H1989" s="8"/>
    </row>
    <row r="1990" spans="6:8" x14ac:dyDescent="0.25">
      <c r="F1990" s="8"/>
      <c r="H1990" s="8"/>
    </row>
    <row r="1991" spans="6:8" x14ac:dyDescent="0.25">
      <c r="F1991" s="8"/>
      <c r="H1991" s="8"/>
    </row>
    <row r="1992" spans="6:8" x14ac:dyDescent="0.25">
      <c r="F1992" s="8"/>
      <c r="H1992" s="8"/>
    </row>
    <row r="1993" spans="6:8" x14ac:dyDescent="0.25">
      <c r="F1993" s="8"/>
      <c r="H1993" s="8"/>
    </row>
    <row r="1994" spans="6:8" x14ac:dyDescent="0.25">
      <c r="F1994" s="8"/>
      <c r="H1994" s="8"/>
    </row>
    <row r="1995" spans="6:8" x14ac:dyDescent="0.25">
      <c r="F1995" s="8"/>
      <c r="H1995" s="8"/>
    </row>
    <row r="1996" spans="6:8" x14ac:dyDescent="0.25">
      <c r="F1996" s="8"/>
      <c r="H1996" s="8"/>
    </row>
    <row r="1997" spans="6:8" x14ac:dyDescent="0.25">
      <c r="F1997" s="8"/>
      <c r="H1997" s="8"/>
    </row>
    <row r="1998" spans="6:8" x14ac:dyDescent="0.25">
      <c r="F1998" s="8"/>
      <c r="H1998" s="8"/>
    </row>
    <row r="1999" spans="6:8" x14ac:dyDescent="0.25">
      <c r="F1999" s="8"/>
      <c r="H1999" s="8"/>
    </row>
    <row r="2000" spans="6:8" x14ac:dyDescent="0.25">
      <c r="F2000" s="8"/>
      <c r="H2000" s="8"/>
    </row>
    <row r="2001" spans="6:8" x14ac:dyDescent="0.25">
      <c r="F2001" s="8"/>
      <c r="H2001" s="8"/>
    </row>
    <row r="2002" spans="6:8" x14ac:dyDescent="0.25">
      <c r="F2002" s="8"/>
      <c r="H2002" s="8"/>
    </row>
    <row r="2003" spans="6:8" x14ac:dyDescent="0.25">
      <c r="F2003" s="8"/>
      <c r="H2003" s="8"/>
    </row>
    <row r="2004" spans="6:8" x14ac:dyDescent="0.25">
      <c r="F2004" s="8"/>
      <c r="H2004" s="8"/>
    </row>
    <row r="2005" spans="6:8" x14ac:dyDescent="0.25">
      <c r="F2005" s="8"/>
      <c r="H2005" s="8"/>
    </row>
    <row r="2006" spans="6:8" x14ac:dyDescent="0.25">
      <c r="F2006" s="8"/>
      <c r="H2006" s="8"/>
    </row>
    <row r="2007" spans="6:8" x14ac:dyDescent="0.25">
      <c r="F2007" s="8"/>
      <c r="H2007" s="8"/>
    </row>
    <row r="2008" spans="6:8" x14ac:dyDescent="0.25">
      <c r="F2008" s="8"/>
      <c r="H2008" s="8"/>
    </row>
    <row r="2009" spans="6:8" x14ac:dyDescent="0.25">
      <c r="F2009" s="8"/>
      <c r="H2009" s="8"/>
    </row>
    <row r="2010" spans="6:8" x14ac:dyDescent="0.25">
      <c r="F2010" s="8"/>
      <c r="H2010" s="8"/>
    </row>
    <row r="2011" spans="6:8" x14ac:dyDescent="0.25">
      <c r="F2011" s="8"/>
      <c r="H2011" s="8"/>
    </row>
    <row r="2012" spans="6:8" x14ac:dyDescent="0.25">
      <c r="F2012" s="8"/>
      <c r="H2012" s="8"/>
    </row>
    <row r="2013" spans="6:8" x14ac:dyDescent="0.25">
      <c r="F2013" s="8"/>
      <c r="H2013" s="8"/>
    </row>
    <row r="2014" spans="6:8" x14ac:dyDescent="0.25">
      <c r="F2014" s="8"/>
      <c r="H2014" s="8"/>
    </row>
    <row r="2015" spans="6:8" x14ac:dyDescent="0.25">
      <c r="F2015" s="8"/>
      <c r="H2015" s="8"/>
    </row>
    <row r="2016" spans="6:8" x14ac:dyDescent="0.25">
      <c r="F2016" s="8"/>
      <c r="H2016" s="8"/>
    </row>
    <row r="2017" spans="6:8" x14ac:dyDescent="0.25">
      <c r="F2017" s="8"/>
      <c r="H2017" s="8"/>
    </row>
    <row r="2018" spans="6:8" x14ac:dyDescent="0.25">
      <c r="F2018" s="8"/>
      <c r="H2018" s="8"/>
    </row>
    <row r="2019" spans="6:8" x14ac:dyDescent="0.25">
      <c r="F2019" s="8"/>
      <c r="H2019" s="8"/>
    </row>
    <row r="2020" spans="6:8" x14ac:dyDescent="0.25">
      <c r="F2020" s="8"/>
      <c r="H2020" s="8"/>
    </row>
    <row r="2021" spans="6:8" x14ac:dyDescent="0.25">
      <c r="F2021" s="8"/>
      <c r="H2021" s="8"/>
    </row>
    <row r="2022" spans="6:8" x14ac:dyDescent="0.25">
      <c r="F2022" s="8"/>
      <c r="H2022" s="8"/>
    </row>
    <row r="2023" spans="6:8" x14ac:dyDescent="0.25">
      <c r="F2023" s="8"/>
      <c r="H2023" s="8"/>
    </row>
    <row r="2024" spans="6:8" x14ac:dyDescent="0.25">
      <c r="F2024" s="8"/>
      <c r="H2024" s="8"/>
    </row>
    <row r="2025" spans="6:8" x14ac:dyDescent="0.25">
      <c r="F2025" s="8"/>
      <c r="H2025" s="8"/>
    </row>
    <row r="2026" spans="6:8" x14ac:dyDescent="0.25">
      <c r="F2026" s="8"/>
      <c r="H2026" s="8"/>
    </row>
    <row r="2027" spans="6:8" x14ac:dyDescent="0.25">
      <c r="F2027" s="8"/>
      <c r="H2027" s="8"/>
    </row>
    <row r="2028" spans="6:8" x14ac:dyDescent="0.25">
      <c r="F2028" s="8"/>
      <c r="H2028" s="8"/>
    </row>
    <row r="2029" spans="6:8" x14ac:dyDescent="0.25">
      <c r="F2029" s="8"/>
      <c r="H2029" s="8"/>
    </row>
    <row r="2030" spans="6:8" x14ac:dyDescent="0.25">
      <c r="F2030" s="8"/>
      <c r="H2030" s="8"/>
    </row>
    <row r="2031" spans="6:8" x14ac:dyDescent="0.25">
      <c r="F2031" s="8"/>
      <c r="H2031" s="8"/>
    </row>
    <row r="2032" spans="6:8" x14ac:dyDescent="0.25">
      <c r="F2032" s="8"/>
      <c r="H2032" s="8"/>
    </row>
    <row r="2033" spans="6:8" x14ac:dyDescent="0.25">
      <c r="F2033" s="8"/>
      <c r="H2033" s="8"/>
    </row>
    <row r="2034" spans="6:8" x14ac:dyDescent="0.25">
      <c r="F2034" s="8"/>
      <c r="H2034" s="8"/>
    </row>
    <row r="2035" spans="6:8" x14ac:dyDescent="0.25">
      <c r="F2035" s="8"/>
      <c r="H2035" s="8"/>
    </row>
    <row r="2036" spans="6:8" x14ac:dyDescent="0.25">
      <c r="F2036" s="8"/>
      <c r="H2036" s="8"/>
    </row>
    <row r="2037" spans="6:8" x14ac:dyDescent="0.25">
      <c r="F2037" s="8"/>
      <c r="H2037" s="8"/>
    </row>
    <row r="2038" spans="6:8" x14ac:dyDescent="0.25">
      <c r="F2038" s="8"/>
      <c r="H2038" s="8"/>
    </row>
    <row r="2039" spans="6:8" x14ac:dyDescent="0.25">
      <c r="F2039" s="8"/>
      <c r="H2039" s="8"/>
    </row>
    <row r="2040" spans="6:8" x14ac:dyDescent="0.25">
      <c r="F2040" s="8"/>
      <c r="H2040" s="8"/>
    </row>
    <row r="2041" spans="6:8" x14ac:dyDescent="0.25">
      <c r="F2041" s="8"/>
      <c r="H2041" s="8"/>
    </row>
    <row r="2042" spans="6:8" x14ac:dyDescent="0.25">
      <c r="F2042" s="8"/>
      <c r="H2042" s="8"/>
    </row>
    <row r="2043" spans="6:8" x14ac:dyDescent="0.25">
      <c r="F2043" s="8"/>
      <c r="H2043" s="8"/>
    </row>
    <row r="2044" spans="6:8" x14ac:dyDescent="0.25">
      <c r="F2044" s="8"/>
      <c r="H2044" s="8"/>
    </row>
    <row r="2045" spans="6:8" x14ac:dyDescent="0.25">
      <c r="F2045" s="8"/>
      <c r="H2045" s="8"/>
    </row>
    <row r="2046" spans="6:8" x14ac:dyDescent="0.25">
      <c r="F2046" s="8"/>
      <c r="H2046" s="8"/>
    </row>
    <row r="2047" spans="6:8" x14ac:dyDescent="0.25">
      <c r="F2047" s="8"/>
      <c r="H2047" s="8"/>
    </row>
    <row r="2048" spans="6:8" x14ac:dyDescent="0.25">
      <c r="F2048" s="8"/>
      <c r="H2048" s="8"/>
    </row>
    <row r="2049" spans="6:8" x14ac:dyDescent="0.25">
      <c r="F2049" s="8"/>
      <c r="H2049" s="8"/>
    </row>
    <row r="2050" spans="6:8" x14ac:dyDescent="0.25">
      <c r="F2050" s="8"/>
      <c r="H2050" s="8"/>
    </row>
    <row r="2051" spans="6:8" x14ac:dyDescent="0.25">
      <c r="F2051" s="8"/>
      <c r="H2051" s="8"/>
    </row>
    <row r="2052" spans="6:8" x14ac:dyDescent="0.25">
      <c r="F2052" s="8"/>
      <c r="H2052" s="8"/>
    </row>
    <row r="2053" spans="6:8" x14ac:dyDescent="0.25">
      <c r="F2053" s="8"/>
      <c r="H2053" s="8"/>
    </row>
    <row r="2054" spans="6:8" x14ac:dyDescent="0.25">
      <c r="F2054" s="8"/>
      <c r="H2054" s="8"/>
    </row>
    <row r="2055" spans="6:8" x14ac:dyDescent="0.25">
      <c r="F2055" s="8"/>
      <c r="H2055" s="8"/>
    </row>
    <row r="2056" spans="6:8" x14ac:dyDescent="0.25">
      <c r="F2056" s="8"/>
      <c r="H2056" s="8"/>
    </row>
    <row r="2057" spans="6:8" x14ac:dyDescent="0.25">
      <c r="F2057" s="8"/>
      <c r="H2057" s="8"/>
    </row>
    <row r="2058" spans="6:8" x14ac:dyDescent="0.25">
      <c r="F2058" s="8"/>
      <c r="H2058" s="8"/>
    </row>
    <row r="2059" spans="6:8" x14ac:dyDescent="0.25">
      <c r="F2059" s="8"/>
      <c r="H2059" s="8"/>
    </row>
    <row r="2060" spans="6:8" x14ac:dyDescent="0.25">
      <c r="F2060" s="8"/>
      <c r="H2060" s="8"/>
    </row>
    <row r="2061" spans="6:8" x14ac:dyDescent="0.25">
      <c r="F2061" s="8"/>
      <c r="H2061" s="8"/>
    </row>
    <row r="2062" spans="6:8" x14ac:dyDescent="0.25">
      <c r="F2062" s="8"/>
      <c r="H2062" s="8"/>
    </row>
    <row r="2063" spans="6:8" x14ac:dyDescent="0.25">
      <c r="F2063" s="8"/>
      <c r="H2063" s="8"/>
    </row>
    <row r="2064" spans="6:8" x14ac:dyDescent="0.25">
      <c r="F2064" s="8"/>
      <c r="H2064" s="8"/>
    </row>
    <row r="2065" spans="6:8" x14ac:dyDescent="0.25">
      <c r="F2065" s="8"/>
      <c r="H2065" s="8"/>
    </row>
    <row r="2066" spans="6:8" x14ac:dyDescent="0.25">
      <c r="F2066" s="8"/>
      <c r="H2066" s="8"/>
    </row>
    <row r="2067" spans="6:8" x14ac:dyDescent="0.25">
      <c r="F2067" s="8"/>
      <c r="H2067" s="8"/>
    </row>
    <row r="2068" spans="6:8" x14ac:dyDescent="0.25">
      <c r="F2068" s="8"/>
      <c r="H2068" s="8"/>
    </row>
    <row r="2069" spans="6:8" x14ac:dyDescent="0.25">
      <c r="F2069" s="8"/>
      <c r="H2069" s="8"/>
    </row>
    <row r="2070" spans="6:8" x14ac:dyDescent="0.25">
      <c r="F2070" s="8"/>
      <c r="H2070" s="8"/>
    </row>
    <row r="2071" spans="6:8" x14ac:dyDescent="0.25">
      <c r="F2071" s="8"/>
      <c r="H2071" s="8"/>
    </row>
    <row r="2072" spans="6:8" x14ac:dyDescent="0.25">
      <c r="F2072" s="8"/>
      <c r="H2072" s="8"/>
    </row>
    <row r="2073" spans="6:8" x14ac:dyDescent="0.25">
      <c r="F2073" s="8"/>
      <c r="H2073" s="8"/>
    </row>
    <row r="2074" spans="6:8" x14ac:dyDescent="0.25">
      <c r="F2074" s="8"/>
      <c r="H2074" s="8"/>
    </row>
    <row r="2075" spans="6:8" x14ac:dyDescent="0.25">
      <c r="F2075" s="8"/>
      <c r="H2075" s="8"/>
    </row>
    <row r="2076" spans="6:8" x14ac:dyDescent="0.25">
      <c r="F2076" s="8"/>
      <c r="H2076" s="8"/>
    </row>
    <row r="2077" spans="6:8" x14ac:dyDescent="0.25">
      <c r="F2077" s="8"/>
      <c r="H2077" s="8"/>
    </row>
    <row r="2078" spans="6:8" x14ac:dyDescent="0.25">
      <c r="F2078" s="8"/>
      <c r="H2078" s="8"/>
    </row>
    <row r="2079" spans="6:8" x14ac:dyDescent="0.25">
      <c r="F2079" s="8"/>
      <c r="H2079" s="8"/>
    </row>
    <row r="2080" spans="6:8" x14ac:dyDescent="0.25">
      <c r="F2080" s="8"/>
      <c r="H2080" s="8"/>
    </row>
    <row r="2081" spans="6:8" x14ac:dyDescent="0.25">
      <c r="F2081" s="8"/>
      <c r="H2081" s="8"/>
    </row>
    <row r="2082" spans="6:8" x14ac:dyDescent="0.25">
      <c r="F2082" s="8"/>
      <c r="H2082" s="8"/>
    </row>
    <row r="2083" spans="6:8" x14ac:dyDescent="0.25">
      <c r="F2083" s="8"/>
      <c r="H2083" s="8"/>
    </row>
    <row r="2084" spans="6:8" x14ac:dyDescent="0.25">
      <c r="F2084" s="8"/>
      <c r="H2084" s="8"/>
    </row>
    <row r="2085" spans="6:8" x14ac:dyDescent="0.25">
      <c r="F2085" s="8"/>
      <c r="H2085" s="8"/>
    </row>
    <row r="2086" spans="6:8" x14ac:dyDescent="0.25">
      <c r="F2086" s="8"/>
      <c r="H2086" s="8"/>
    </row>
    <row r="2087" spans="6:8" x14ac:dyDescent="0.25">
      <c r="F2087" s="8"/>
      <c r="H2087" s="8"/>
    </row>
    <row r="2088" spans="6:8" x14ac:dyDescent="0.25">
      <c r="F2088" s="8"/>
      <c r="H2088" s="8"/>
    </row>
    <row r="2089" spans="6:8" x14ac:dyDescent="0.25">
      <c r="F2089" s="8"/>
      <c r="H2089" s="8"/>
    </row>
    <row r="2090" spans="6:8" x14ac:dyDescent="0.25">
      <c r="F2090" s="8"/>
      <c r="H2090" s="8"/>
    </row>
    <row r="2091" spans="6:8" x14ac:dyDescent="0.25">
      <c r="F2091" s="8"/>
      <c r="H2091" s="8"/>
    </row>
    <row r="2092" spans="6:8" x14ac:dyDescent="0.25">
      <c r="F2092" s="8"/>
      <c r="H2092" s="8"/>
    </row>
    <row r="2093" spans="6:8" x14ac:dyDescent="0.25">
      <c r="F2093" s="8"/>
      <c r="H2093" s="8"/>
    </row>
    <row r="2094" spans="6:8" x14ac:dyDescent="0.25">
      <c r="F2094" s="8"/>
      <c r="H2094" s="8"/>
    </row>
    <row r="2095" spans="6:8" x14ac:dyDescent="0.25">
      <c r="F2095" s="8"/>
      <c r="H2095" s="8"/>
    </row>
    <row r="2096" spans="6:8" x14ac:dyDescent="0.25">
      <c r="F2096" s="8"/>
      <c r="H2096" s="8"/>
    </row>
    <row r="2097" spans="6:8" x14ac:dyDescent="0.25">
      <c r="F2097" s="8"/>
      <c r="H2097" s="8"/>
    </row>
    <row r="2098" spans="6:8" x14ac:dyDescent="0.25">
      <c r="F2098" s="8"/>
      <c r="H2098" s="8"/>
    </row>
    <row r="2099" spans="6:8" x14ac:dyDescent="0.25">
      <c r="F2099" s="8"/>
      <c r="H2099" s="8"/>
    </row>
    <row r="2100" spans="6:8" x14ac:dyDescent="0.25">
      <c r="F2100" s="8"/>
      <c r="H2100" s="8"/>
    </row>
    <row r="2101" spans="6:8" x14ac:dyDescent="0.25">
      <c r="F2101" s="8"/>
      <c r="H2101" s="8"/>
    </row>
    <row r="2102" spans="6:8" x14ac:dyDescent="0.25">
      <c r="F2102" s="8"/>
      <c r="H2102" s="8"/>
    </row>
    <row r="2103" spans="6:8" x14ac:dyDescent="0.25">
      <c r="F2103" s="8"/>
      <c r="H2103" s="8"/>
    </row>
    <row r="2104" spans="6:8" x14ac:dyDescent="0.25">
      <c r="F2104" s="8"/>
      <c r="H2104" s="8"/>
    </row>
    <row r="2105" spans="6:8" x14ac:dyDescent="0.25">
      <c r="F2105" s="8"/>
      <c r="H2105" s="8"/>
    </row>
    <row r="2106" spans="6:8" x14ac:dyDescent="0.25">
      <c r="F2106" s="8"/>
      <c r="H2106" s="8"/>
    </row>
    <row r="2107" spans="6:8" x14ac:dyDescent="0.25">
      <c r="F2107" s="8"/>
      <c r="H2107" s="8"/>
    </row>
    <row r="2108" spans="6:8" x14ac:dyDescent="0.25">
      <c r="F2108" s="8"/>
      <c r="H2108" s="8"/>
    </row>
    <row r="2109" spans="6:8" x14ac:dyDescent="0.25">
      <c r="F2109" s="8"/>
      <c r="H2109" s="8"/>
    </row>
    <row r="2110" spans="6:8" x14ac:dyDescent="0.25">
      <c r="F2110" s="8"/>
      <c r="H2110" s="8"/>
    </row>
    <row r="2111" spans="6:8" x14ac:dyDescent="0.25">
      <c r="F2111" s="8"/>
      <c r="H2111" s="8"/>
    </row>
    <row r="2112" spans="6:8" x14ac:dyDescent="0.25">
      <c r="F2112" s="8"/>
      <c r="H2112" s="8"/>
    </row>
    <row r="2113" spans="6:8" x14ac:dyDescent="0.25">
      <c r="F2113" s="8"/>
      <c r="H2113" s="8"/>
    </row>
    <row r="2114" spans="6:8" x14ac:dyDescent="0.25">
      <c r="F2114" s="8"/>
      <c r="H2114" s="8"/>
    </row>
    <row r="2115" spans="6:8" x14ac:dyDescent="0.25">
      <c r="F2115" s="8"/>
      <c r="H2115" s="8"/>
    </row>
    <row r="2116" spans="6:8" x14ac:dyDescent="0.25">
      <c r="F2116" s="8"/>
      <c r="H2116" s="8"/>
    </row>
    <row r="2117" spans="6:8" x14ac:dyDescent="0.25">
      <c r="F2117" s="8"/>
      <c r="H2117" s="8"/>
    </row>
    <row r="2118" spans="6:8" x14ac:dyDescent="0.25">
      <c r="F2118" s="8"/>
      <c r="H2118" s="8"/>
    </row>
    <row r="2119" spans="6:8" x14ac:dyDescent="0.25">
      <c r="F2119" s="8"/>
      <c r="H2119" s="8"/>
    </row>
    <row r="2120" spans="6:8" x14ac:dyDescent="0.25">
      <c r="F2120" s="8"/>
      <c r="H2120" s="8"/>
    </row>
    <row r="2121" spans="6:8" x14ac:dyDescent="0.25">
      <c r="F2121" s="8"/>
      <c r="H2121" s="8"/>
    </row>
    <row r="2122" spans="6:8" x14ac:dyDescent="0.25">
      <c r="F2122" s="8"/>
      <c r="H2122" s="8"/>
    </row>
    <row r="2123" spans="6:8" x14ac:dyDescent="0.25">
      <c r="F2123" s="8"/>
      <c r="H2123" s="8"/>
    </row>
    <row r="2124" spans="6:8" x14ac:dyDescent="0.25">
      <c r="F2124" s="8"/>
      <c r="H2124" s="8"/>
    </row>
    <row r="2125" spans="6:8" x14ac:dyDescent="0.25">
      <c r="F2125" s="8"/>
      <c r="H2125" s="8"/>
    </row>
    <row r="2126" spans="6:8" x14ac:dyDescent="0.25">
      <c r="F2126" s="8"/>
      <c r="H2126" s="8"/>
    </row>
    <row r="2127" spans="6:8" x14ac:dyDescent="0.25">
      <c r="F2127" s="8"/>
      <c r="H2127" s="8"/>
    </row>
    <row r="2128" spans="6:8" x14ac:dyDescent="0.25">
      <c r="F2128" s="8"/>
      <c r="H2128" s="8"/>
    </row>
    <row r="2129" spans="6:8" x14ac:dyDescent="0.25">
      <c r="F2129" s="8"/>
      <c r="H2129" s="8"/>
    </row>
    <row r="2130" spans="6:8" x14ac:dyDescent="0.25">
      <c r="F2130" s="8"/>
      <c r="H2130" s="8"/>
    </row>
    <row r="2131" spans="6:8" x14ac:dyDescent="0.25">
      <c r="F2131" s="8"/>
      <c r="H2131" s="8"/>
    </row>
    <row r="2132" spans="6:8" x14ac:dyDescent="0.25">
      <c r="F2132" s="8"/>
      <c r="H2132" s="8"/>
    </row>
    <row r="2133" spans="6:8" x14ac:dyDescent="0.25">
      <c r="F2133" s="8"/>
      <c r="H2133" s="8"/>
    </row>
    <row r="2134" spans="6:8" x14ac:dyDescent="0.25">
      <c r="F2134" s="8"/>
      <c r="H2134" s="8"/>
    </row>
    <row r="2135" spans="6:8" x14ac:dyDescent="0.25">
      <c r="F2135" s="8"/>
      <c r="H2135" s="8"/>
    </row>
    <row r="2136" spans="6:8" x14ac:dyDescent="0.25">
      <c r="F2136" s="8"/>
      <c r="H2136" s="8"/>
    </row>
    <row r="2137" spans="6:8" x14ac:dyDescent="0.25">
      <c r="F2137" s="8"/>
      <c r="H2137" s="8"/>
    </row>
    <row r="2138" spans="6:8" x14ac:dyDescent="0.25">
      <c r="F2138" s="8"/>
      <c r="H2138" s="8"/>
    </row>
    <row r="2139" spans="6:8" x14ac:dyDescent="0.25">
      <c r="F2139" s="8"/>
      <c r="H2139" s="8"/>
    </row>
    <row r="2140" spans="6:8" x14ac:dyDescent="0.25">
      <c r="F2140" s="8"/>
      <c r="H2140" s="8"/>
    </row>
    <row r="2141" spans="6:8" x14ac:dyDescent="0.25">
      <c r="F2141" s="8"/>
      <c r="H2141" s="8"/>
    </row>
    <row r="2142" spans="6:8" x14ac:dyDescent="0.25">
      <c r="F2142" s="8"/>
      <c r="H2142" s="8"/>
    </row>
    <row r="2143" spans="6:8" x14ac:dyDescent="0.25">
      <c r="F2143" s="8"/>
      <c r="H2143" s="8"/>
    </row>
    <row r="2144" spans="6:8" x14ac:dyDescent="0.25">
      <c r="F2144" s="8"/>
      <c r="H2144" s="8"/>
    </row>
    <row r="2145" spans="6:8" x14ac:dyDescent="0.25">
      <c r="F2145" s="8"/>
      <c r="H2145" s="8"/>
    </row>
    <row r="2146" spans="6:8" x14ac:dyDescent="0.25">
      <c r="F2146" s="8"/>
      <c r="H2146" s="8"/>
    </row>
    <row r="2147" spans="6:8" x14ac:dyDescent="0.25">
      <c r="F2147" s="8"/>
      <c r="H2147" s="8"/>
    </row>
    <row r="2148" spans="6:8" x14ac:dyDescent="0.25">
      <c r="F2148" s="8"/>
      <c r="H2148" s="8"/>
    </row>
    <row r="2149" spans="6:8" x14ac:dyDescent="0.25">
      <c r="F2149" s="8"/>
      <c r="H2149" s="8"/>
    </row>
    <row r="2150" spans="6:8" x14ac:dyDescent="0.25">
      <c r="F2150" s="8"/>
      <c r="H2150" s="8"/>
    </row>
    <row r="2151" spans="6:8" x14ac:dyDescent="0.25">
      <c r="F2151" s="8"/>
      <c r="H2151" s="8"/>
    </row>
    <row r="2152" spans="6:8" x14ac:dyDescent="0.25">
      <c r="F2152" s="8"/>
      <c r="H2152" s="8"/>
    </row>
    <row r="2153" spans="6:8" x14ac:dyDescent="0.25">
      <c r="F2153" s="8"/>
      <c r="H2153" s="8"/>
    </row>
    <row r="2154" spans="6:8" x14ac:dyDescent="0.25">
      <c r="F2154" s="8"/>
      <c r="H2154" s="8"/>
    </row>
    <row r="2155" spans="6:8" x14ac:dyDescent="0.25">
      <c r="F2155" s="8"/>
      <c r="H2155" s="8"/>
    </row>
    <row r="2156" spans="6:8" x14ac:dyDescent="0.25">
      <c r="F2156" s="8"/>
      <c r="H2156" s="8"/>
    </row>
    <row r="2157" spans="6:8" x14ac:dyDescent="0.25">
      <c r="F2157" s="8"/>
      <c r="H2157" s="8"/>
    </row>
    <row r="2158" spans="6:8" x14ac:dyDescent="0.25">
      <c r="F2158" s="8"/>
      <c r="H2158" s="8"/>
    </row>
    <row r="2159" spans="6:8" x14ac:dyDescent="0.25">
      <c r="F2159" s="8"/>
      <c r="H2159" s="8"/>
    </row>
    <row r="2160" spans="6:8" x14ac:dyDescent="0.25">
      <c r="F2160" s="8"/>
      <c r="H2160" s="8"/>
    </row>
    <row r="2161" spans="6:8" x14ac:dyDescent="0.25">
      <c r="F2161" s="8"/>
      <c r="H2161" s="8"/>
    </row>
    <row r="2162" spans="6:8" x14ac:dyDescent="0.25">
      <c r="F2162" s="8"/>
      <c r="H2162" s="8"/>
    </row>
    <row r="2163" spans="6:8" x14ac:dyDescent="0.25">
      <c r="F2163" s="8"/>
      <c r="H2163" s="8"/>
    </row>
    <row r="2164" spans="6:8" x14ac:dyDescent="0.25">
      <c r="F2164" s="8"/>
      <c r="H2164" s="8"/>
    </row>
    <row r="2165" spans="6:8" x14ac:dyDescent="0.25">
      <c r="F2165" s="8"/>
      <c r="H2165" s="8"/>
    </row>
    <row r="2166" spans="6:8" x14ac:dyDescent="0.25">
      <c r="F2166" s="8"/>
      <c r="H2166" s="8"/>
    </row>
    <row r="2167" spans="6:8" x14ac:dyDescent="0.25">
      <c r="F2167" s="8"/>
      <c r="H2167" s="8"/>
    </row>
    <row r="2168" spans="6:8" x14ac:dyDescent="0.25">
      <c r="F2168" s="8"/>
      <c r="H2168" s="8"/>
    </row>
    <row r="2169" spans="6:8" x14ac:dyDescent="0.25">
      <c r="F2169" s="8"/>
      <c r="H2169" s="8"/>
    </row>
    <row r="2170" spans="6:8" x14ac:dyDescent="0.25">
      <c r="F2170" s="8"/>
      <c r="H2170" s="8"/>
    </row>
    <row r="2171" spans="6:8" x14ac:dyDescent="0.25">
      <c r="F2171" s="8"/>
      <c r="H2171" s="8"/>
    </row>
    <row r="2172" spans="6:8" x14ac:dyDescent="0.25">
      <c r="F2172" s="8"/>
      <c r="H2172" s="8"/>
    </row>
    <row r="2173" spans="6:8" x14ac:dyDescent="0.25">
      <c r="F2173" s="8"/>
      <c r="H2173" s="8"/>
    </row>
    <row r="2174" spans="6:8" x14ac:dyDescent="0.25">
      <c r="F2174" s="8"/>
      <c r="H2174" s="8"/>
    </row>
    <row r="2175" spans="6:8" x14ac:dyDescent="0.25">
      <c r="F2175" s="8"/>
      <c r="H2175" s="8"/>
    </row>
    <row r="2176" spans="6:8" x14ac:dyDescent="0.25">
      <c r="F2176" s="8"/>
      <c r="H2176" s="8"/>
    </row>
    <row r="2177" spans="6:8" x14ac:dyDescent="0.25">
      <c r="F2177" s="8"/>
      <c r="H2177" s="8"/>
    </row>
    <row r="2178" spans="6:8" x14ac:dyDescent="0.25">
      <c r="F2178" s="8"/>
      <c r="H2178" s="8"/>
    </row>
    <row r="2179" spans="6:8" x14ac:dyDescent="0.25">
      <c r="F2179" s="8"/>
      <c r="H2179" s="8"/>
    </row>
    <row r="2180" spans="6:8" x14ac:dyDescent="0.25">
      <c r="F2180" s="8"/>
      <c r="H2180" s="8"/>
    </row>
    <row r="2181" spans="6:8" x14ac:dyDescent="0.25">
      <c r="F2181" s="8"/>
      <c r="H2181" s="8"/>
    </row>
    <row r="2182" spans="6:8" x14ac:dyDescent="0.25">
      <c r="F2182" s="8"/>
      <c r="H2182" s="8"/>
    </row>
    <row r="2183" spans="6:8" x14ac:dyDescent="0.25">
      <c r="F2183" s="8"/>
      <c r="H2183" s="8"/>
    </row>
    <row r="2184" spans="6:8" x14ac:dyDescent="0.25">
      <c r="F2184" s="8"/>
      <c r="H2184" s="8"/>
    </row>
    <row r="2185" spans="6:8" x14ac:dyDescent="0.25">
      <c r="F2185" s="8"/>
      <c r="H2185" s="8"/>
    </row>
    <row r="2186" spans="6:8" x14ac:dyDescent="0.25">
      <c r="F2186" s="8"/>
      <c r="H2186" s="8"/>
    </row>
    <row r="2187" spans="6:8" x14ac:dyDescent="0.25">
      <c r="F2187" s="8"/>
      <c r="H2187" s="8"/>
    </row>
    <row r="2188" spans="6:8" x14ac:dyDescent="0.25">
      <c r="F2188" s="8"/>
      <c r="H2188" s="8"/>
    </row>
    <row r="2189" spans="6:8" x14ac:dyDescent="0.25">
      <c r="F2189" s="8"/>
      <c r="H2189" s="8"/>
    </row>
    <row r="2190" spans="6:8" x14ac:dyDescent="0.25">
      <c r="F2190" s="8"/>
      <c r="H2190" s="8"/>
    </row>
    <row r="2191" spans="6:8" x14ac:dyDescent="0.25">
      <c r="F2191" s="8"/>
      <c r="H2191" s="8"/>
    </row>
    <row r="2192" spans="6:8" x14ac:dyDescent="0.25">
      <c r="F2192" s="8"/>
      <c r="H2192" s="8"/>
    </row>
    <row r="2193" spans="6:8" x14ac:dyDescent="0.25">
      <c r="F2193" s="8"/>
      <c r="H2193" s="8"/>
    </row>
    <row r="2194" spans="6:8" x14ac:dyDescent="0.25">
      <c r="F2194" s="8"/>
      <c r="H2194" s="8"/>
    </row>
    <row r="2195" spans="6:8" x14ac:dyDescent="0.25">
      <c r="F2195" s="8"/>
      <c r="H2195" s="8"/>
    </row>
    <row r="2196" spans="6:8" x14ac:dyDescent="0.25">
      <c r="F2196" s="8"/>
      <c r="H2196" s="8"/>
    </row>
    <row r="2197" spans="6:8" x14ac:dyDescent="0.25">
      <c r="F2197" s="8"/>
      <c r="H2197" s="8"/>
    </row>
    <row r="2198" spans="6:8" x14ac:dyDescent="0.25">
      <c r="F2198" s="8"/>
      <c r="H2198" s="8"/>
    </row>
    <row r="2199" spans="6:8" x14ac:dyDescent="0.25">
      <c r="F2199" s="8"/>
      <c r="H2199" s="8"/>
    </row>
    <row r="2200" spans="6:8" x14ac:dyDescent="0.25">
      <c r="F2200" s="8"/>
      <c r="H2200" s="8"/>
    </row>
    <row r="2201" spans="6:8" x14ac:dyDescent="0.25">
      <c r="F2201" s="8"/>
      <c r="H2201" s="8"/>
    </row>
    <row r="2202" spans="6:8" x14ac:dyDescent="0.25">
      <c r="F2202" s="8"/>
      <c r="H2202" s="8"/>
    </row>
    <row r="2203" spans="6:8" x14ac:dyDescent="0.25">
      <c r="F2203" s="8"/>
      <c r="H2203" s="8"/>
    </row>
    <row r="2204" spans="6:8" x14ac:dyDescent="0.25">
      <c r="F2204" s="8"/>
      <c r="H2204" s="8"/>
    </row>
    <row r="2205" spans="6:8" x14ac:dyDescent="0.25">
      <c r="F2205" s="8"/>
      <c r="H2205" s="8"/>
    </row>
    <row r="2206" spans="6:8" x14ac:dyDescent="0.25">
      <c r="F2206" s="8"/>
      <c r="H2206" s="8"/>
    </row>
    <row r="2207" spans="6:8" x14ac:dyDescent="0.25">
      <c r="F2207" s="8"/>
      <c r="H2207" s="8"/>
    </row>
    <row r="2208" spans="6:8" x14ac:dyDescent="0.25">
      <c r="F2208" s="8"/>
      <c r="H2208" s="8"/>
    </row>
    <row r="2209" spans="6:8" x14ac:dyDescent="0.25">
      <c r="F2209" s="8"/>
      <c r="H2209" s="8"/>
    </row>
    <row r="2210" spans="6:8" x14ac:dyDescent="0.25">
      <c r="F2210" s="8"/>
      <c r="H2210" s="8"/>
    </row>
    <row r="2211" spans="6:8" x14ac:dyDescent="0.25">
      <c r="F2211" s="8"/>
      <c r="H2211" s="8"/>
    </row>
    <row r="2212" spans="6:8" x14ac:dyDescent="0.25">
      <c r="F2212" s="8"/>
      <c r="H2212" s="8"/>
    </row>
    <row r="2213" spans="6:8" x14ac:dyDescent="0.25">
      <c r="F2213" s="8"/>
      <c r="H2213" s="8"/>
    </row>
    <row r="2214" spans="6:8" x14ac:dyDescent="0.25">
      <c r="F2214" s="8"/>
      <c r="H2214" s="8"/>
    </row>
    <row r="2215" spans="6:8" x14ac:dyDescent="0.25">
      <c r="F2215" s="8"/>
      <c r="H2215" s="8"/>
    </row>
    <row r="2216" spans="6:8" x14ac:dyDescent="0.25">
      <c r="F2216" s="8"/>
      <c r="H2216" s="8"/>
    </row>
    <row r="2217" spans="6:8" x14ac:dyDescent="0.25">
      <c r="F2217" s="8"/>
      <c r="H2217" s="8"/>
    </row>
    <row r="2218" spans="6:8" x14ac:dyDescent="0.25">
      <c r="F2218" s="8"/>
      <c r="H2218" s="8"/>
    </row>
    <row r="2219" spans="6:8" x14ac:dyDescent="0.25">
      <c r="F2219" s="8"/>
      <c r="H2219" s="8"/>
    </row>
    <row r="2220" spans="6:8" x14ac:dyDescent="0.25">
      <c r="F2220" s="8"/>
      <c r="H2220" s="8"/>
    </row>
    <row r="2221" spans="6:8" x14ac:dyDescent="0.25">
      <c r="F2221" s="8"/>
      <c r="H2221" s="8"/>
    </row>
    <row r="2222" spans="6:8" x14ac:dyDescent="0.25">
      <c r="F2222" s="8"/>
      <c r="H2222" s="8"/>
    </row>
    <row r="2223" spans="6:8" x14ac:dyDescent="0.25">
      <c r="F2223" s="8"/>
      <c r="H2223" s="8"/>
    </row>
    <row r="2224" spans="6:8" x14ac:dyDescent="0.25">
      <c r="F2224" s="8"/>
      <c r="H2224" s="8"/>
    </row>
    <row r="2225" spans="6:8" x14ac:dyDescent="0.25">
      <c r="F2225" s="8"/>
      <c r="H2225" s="8"/>
    </row>
    <row r="2226" spans="6:8" x14ac:dyDescent="0.25">
      <c r="F2226" s="8"/>
      <c r="H2226" s="8"/>
    </row>
    <row r="2227" spans="6:8" x14ac:dyDescent="0.25">
      <c r="F2227" s="8"/>
      <c r="H2227" s="8"/>
    </row>
    <row r="2228" spans="6:8" x14ac:dyDescent="0.25">
      <c r="F2228" s="8"/>
      <c r="H2228" s="8"/>
    </row>
    <row r="2229" spans="6:8" x14ac:dyDescent="0.25">
      <c r="F2229" s="8"/>
      <c r="H2229" s="8"/>
    </row>
    <row r="2230" spans="6:8" x14ac:dyDescent="0.25">
      <c r="F2230" s="8"/>
      <c r="H2230" s="8"/>
    </row>
    <row r="2231" spans="6:8" x14ac:dyDescent="0.25">
      <c r="F2231" s="8"/>
      <c r="H2231" s="8"/>
    </row>
    <row r="2232" spans="6:8" x14ac:dyDescent="0.25">
      <c r="F2232" s="8"/>
      <c r="H2232" s="8"/>
    </row>
    <row r="2233" spans="6:8" x14ac:dyDescent="0.25">
      <c r="F2233" s="8"/>
      <c r="H2233" s="8"/>
    </row>
    <row r="2234" spans="6:8" x14ac:dyDescent="0.25">
      <c r="F2234" s="8"/>
      <c r="H2234" s="8"/>
    </row>
    <row r="2235" spans="6:8" x14ac:dyDescent="0.25">
      <c r="F2235" s="8"/>
      <c r="H2235" s="8"/>
    </row>
    <row r="2236" spans="6:8" x14ac:dyDescent="0.25">
      <c r="F2236" s="8"/>
      <c r="H2236" s="8"/>
    </row>
    <row r="2237" spans="6:8" x14ac:dyDescent="0.25">
      <c r="F2237" s="8"/>
      <c r="H2237" s="8"/>
    </row>
    <row r="2238" spans="6:8" x14ac:dyDescent="0.25">
      <c r="F2238" s="8"/>
      <c r="H2238" s="8"/>
    </row>
    <row r="2239" spans="6:8" x14ac:dyDescent="0.25">
      <c r="F2239" s="8"/>
      <c r="H2239" s="8"/>
    </row>
    <row r="2240" spans="6:8" x14ac:dyDescent="0.25">
      <c r="F2240" s="8"/>
      <c r="H2240" s="8"/>
    </row>
    <row r="2241" spans="6:8" x14ac:dyDescent="0.25">
      <c r="F2241" s="8"/>
      <c r="H2241" s="8"/>
    </row>
    <row r="2242" spans="6:8" x14ac:dyDescent="0.25">
      <c r="F2242" s="8"/>
      <c r="H2242" s="8"/>
    </row>
    <row r="2243" spans="6:8" x14ac:dyDescent="0.25">
      <c r="F2243" s="8"/>
      <c r="H2243" s="8"/>
    </row>
    <row r="2244" spans="6:8" x14ac:dyDescent="0.25">
      <c r="F2244" s="8"/>
      <c r="H2244" s="8"/>
    </row>
    <row r="2245" spans="6:8" x14ac:dyDescent="0.25">
      <c r="F2245" s="8"/>
      <c r="H2245" s="8"/>
    </row>
    <row r="2246" spans="6:8" x14ac:dyDescent="0.25">
      <c r="F2246" s="8"/>
      <c r="H2246" s="8"/>
    </row>
    <row r="2247" spans="6:8" x14ac:dyDescent="0.25">
      <c r="F2247" s="8"/>
      <c r="H2247" s="8"/>
    </row>
    <row r="2248" spans="6:8" x14ac:dyDescent="0.25">
      <c r="F2248" s="8"/>
      <c r="H2248" s="8"/>
    </row>
    <row r="2249" spans="6:8" x14ac:dyDescent="0.25">
      <c r="F2249" s="8"/>
      <c r="H2249" s="8"/>
    </row>
    <row r="2250" spans="6:8" x14ac:dyDescent="0.25">
      <c r="F2250" s="8"/>
      <c r="H2250" s="8"/>
    </row>
    <row r="2251" spans="6:8" x14ac:dyDescent="0.25">
      <c r="F2251" s="8"/>
      <c r="H2251" s="8"/>
    </row>
    <row r="2252" spans="6:8" x14ac:dyDescent="0.25">
      <c r="F2252" s="8"/>
      <c r="H2252" s="8"/>
    </row>
    <row r="2253" spans="6:8" x14ac:dyDescent="0.25">
      <c r="F2253" s="8"/>
      <c r="H2253" s="8"/>
    </row>
    <row r="2254" spans="6:8" x14ac:dyDescent="0.25">
      <c r="F2254" s="8"/>
      <c r="H2254" s="8"/>
    </row>
    <row r="2255" spans="6:8" x14ac:dyDescent="0.25">
      <c r="F2255" s="8"/>
      <c r="H2255" s="8"/>
    </row>
    <row r="2256" spans="6:8" x14ac:dyDescent="0.25">
      <c r="F2256" s="8"/>
      <c r="H2256" s="8"/>
    </row>
    <row r="2257" spans="6:8" x14ac:dyDescent="0.25">
      <c r="F2257" s="8"/>
      <c r="H2257" s="8"/>
    </row>
    <row r="2258" spans="6:8" x14ac:dyDescent="0.25">
      <c r="F2258" s="8"/>
      <c r="H2258" s="8"/>
    </row>
    <row r="2259" spans="6:8" x14ac:dyDescent="0.25">
      <c r="F2259" s="8"/>
      <c r="H2259" s="8"/>
    </row>
    <row r="2260" spans="6:8" x14ac:dyDescent="0.25">
      <c r="F2260" s="8"/>
      <c r="H2260" s="8"/>
    </row>
    <row r="2261" spans="6:8" x14ac:dyDescent="0.25">
      <c r="F2261" s="8"/>
      <c r="H2261" s="8"/>
    </row>
    <row r="2262" spans="6:8" x14ac:dyDescent="0.25">
      <c r="F2262" s="8"/>
      <c r="H2262" s="8"/>
    </row>
    <row r="2263" spans="6:8" x14ac:dyDescent="0.25">
      <c r="F2263" s="8"/>
      <c r="H2263" s="8"/>
    </row>
    <row r="2264" spans="6:8" x14ac:dyDescent="0.25">
      <c r="F2264" s="8"/>
      <c r="H2264" s="8"/>
    </row>
    <row r="2265" spans="6:8" x14ac:dyDescent="0.25">
      <c r="F2265" s="8"/>
      <c r="H2265" s="8"/>
    </row>
    <row r="2266" spans="6:8" x14ac:dyDescent="0.25">
      <c r="F2266" s="8"/>
      <c r="H2266" s="8"/>
    </row>
    <row r="2267" spans="6:8" x14ac:dyDescent="0.25">
      <c r="F2267" s="8"/>
      <c r="H2267" s="8"/>
    </row>
    <row r="2268" spans="6:8" x14ac:dyDescent="0.25">
      <c r="F2268" s="8"/>
      <c r="H2268" s="8"/>
    </row>
    <row r="2269" spans="6:8" x14ac:dyDescent="0.25">
      <c r="F2269" s="8"/>
      <c r="H2269" s="8"/>
    </row>
    <row r="2270" spans="6:8" x14ac:dyDescent="0.25">
      <c r="F2270" s="8"/>
      <c r="H2270" s="8"/>
    </row>
    <row r="2271" spans="6:8" x14ac:dyDescent="0.25">
      <c r="F2271" s="8"/>
      <c r="H2271" s="8"/>
    </row>
    <row r="2272" spans="6:8" x14ac:dyDescent="0.25">
      <c r="F2272" s="8"/>
      <c r="H2272" s="8"/>
    </row>
    <row r="2273" spans="6:8" x14ac:dyDescent="0.25">
      <c r="F2273" s="8"/>
      <c r="H2273" s="8"/>
    </row>
    <row r="2274" spans="6:8" x14ac:dyDescent="0.25">
      <c r="F2274" s="8"/>
      <c r="H2274" s="8"/>
    </row>
    <row r="2275" spans="6:8" x14ac:dyDescent="0.25">
      <c r="F2275" s="8"/>
      <c r="H2275" s="8"/>
    </row>
    <row r="2276" spans="6:8" x14ac:dyDescent="0.25">
      <c r="F2276" s="8"/>
      <c r="H2276" s="8"/>
    </row>
    <row r="2277" spans="6:8" x14ac:dyDescent="0.25">
      <c r="F2277" s="8"/>
      <c r="H2277" s="8"/>
    </row>
    <row r="2278" spans="6:8" x14ac:dyDescent="0.25">
      <c r="F2278" s="8"/>
      <c r="H2278" s="8"/>
    </row>
    <row r="2279" spans="6:8" x14ac:dyDescent="0.25">
      <c r="F2279" s="8"/>
      <c r="H2279" s="8"/>
    </row>
    <row r="2280" spans="6:8" x14ac:dyDescent="0.25">
      <c r="F2280" s="8"/>
      <c r="H2280" s="8"/>
    </row>
    <row r="2281" spans="6:8" x14ac:dyDescent="0.25">
      <c r="F2281" s="8"/>
      <c r="H2281" s="8"/>
    </row>
    <row r="2282" spans="6:8" x14ac:dyDescent="0.25">
      <c r="F2282" s="8"/>
      <c r="H2282" s="8"/>
    </row>
    <row r="2283" spans="6:8" x14ac:dyDescent="0.25">
      <c r="F2283" s="8"/>
      <c r="H2283" s="8"/>
    </row>
    <row r="2284" spans="6:8" x14ac:dyDescent="0.25">
      <c r="F2284" s="8"/>
      <c r="H2284" s="8"/>
    </row>
    <row r="2285" spans="6:8" x14ac:dyDescent="0.25">
      <c r="F2285" s="8"/>
      <c r="H2285" s="8"/>
    </row>
    <row r="2286" spans="6:8" x14ac:dyDescent="0.25">
      <c r="F2286" s="8"/>
      <c r="H2286" s="8"/>
    </row>
    <row r="2287" spans="6:8" x14ac:dyDescent="0.25">
      <c r="F2287" s="8"/>
      <c r="H2287" s="8"/>
    </row>
    <row r="2288" spans="6:8" x14ac:dyDescent="0.25">
      <c r="F2288" s="8"/>
      <c r="H2288" s="8"/>
    </row>
    <row r="2289" spans="6:8" x14ac:dyDescent="0.25">
      <c r="F2289" s="8"/>
      <c r="H2289" s="8"/>
    </row>
    <row r="2290" spans="6:8" x14ac:dyDescent="0.25">
      <c r="F2290" s="8"/>
      <c r="H2290" s="8"/>
    </row>
    <row r="2291" spans="6:8" x14ac:dyDescent="0.25">
      <c r="F2291" s="8"/>
      <c r="H2291" s="8"/>
    </row>
    <row r="2292" spans="6:8" x14ac:dyDescent="0.25">
      <c r="F2292" s="8"/>
      <c r="H2292" s="8"/>
    </row>
    <row r="2293" spans="6:8" x14ac:dyDescent="0.25">
      <c r="F2293" s="8"/>
      <c r="H2293" s="8"/>
    </row>
    <row r="2294" spans="6:8" x14ac:dyDescent="0.25">
      <c r="F2294" s="8"/>
      <c r="H2294" s="8"/>
    </row>
    <row r="2295" spans="6:8" x14ac:dyDescent="0.25">
      <c r="F2295" s="8"/>
      <c r="H2295" s="8"/>
    </row>
    <row r="2296" spans="6:8" x14ac:dyDescent="0.25">
      <c r="F2296" s="8"/>
      <c r="H2296" s="8"/>
    </row>
    <row r="2297" spans="6:8" x14ac:dyDescent="0.25">
      <c r="F2297" s="8"/>
      <c r="H2297" s="8"/>
    </row>
    <row r="2298" spans="6:8" x14ac:dyDescent="0.25">
      <c r="F2298" s="8"/>
      <c r="H2298" s="8"/>
    </row>
    <row r="2299" spans="6:8" x14ac:dyDescent="0.25">
      <c r="F2299" s="8"/>
      <c r="H2299" s="8"/>
    </row>
    <row r="2300" spans="6:8" x14ac:dyDescent="0.25">
      <c r="F2300" s="8"/>
      <c r="H2300" s="8"/>
    </row>
    <row r="2301" spans="6:8" x14ac:dyDescent="0.25">
      <c r="F2301" s="8"/>
      <c r="H2301" s="8"/>
    </row>
    <row r="2302" spans="6:8" x14ac:dyDescent="0.25">
      <c r="F2302" s="8"/>
      <c r="H2302" s="8"/>
    </row>
    <row r="2303" spans="6:8" x14ac:dyDescent="0.25">
      <c r="F2303" s="8"/>
      <c r="H2303" s="8"/>
    </row>
    <row r="2304" spans="6:8" x14ac:dyDescent="0.25">
      <c r="F2304" s="8"/>
      <c r="H2304" s="8"/>
    </row>
    <row r="2305" spans="6:8" x14ac:dyDescent="0.25">
      <c r="F2305" s="8"/>
      <c r="H2305" s="8"/>
    </row>
    <row r="2306" spans="6:8" x14ac:dyDescent="0.25">
      <c r="F2306" s="8"/>
      <c r="H2306" s="8"/>
    </row>
    <row r="2307" spans="6:8" x14ac:dyDescent="0.25">
      <c r="F2307" s="8"/>
      <c r="H2307" s="8"/>
    </row>
    <row r="2308" spans="6:8" x14ac:dyDescent="0.25">
      <c r="F2308" s="8"/>
      <c r="H2308" s="8"/>
    </row>
    <row r="2309" spans="6:8" x14ac:dyDescent="0.25">
      <c r="F2309" s="8"/>
      <c r="H2309" s="8"/>
    </row>
    <row r="2310" spans="6:8" x14ac:dyDescent="0.25">
      <c r="F2310" s="8"/>
      <c r="H2310" s="8"/>
    </row>
    <row r="2311" spans="6:8" x14ac:dyDescent="0.25">
      <c r="F2311" s="8"/>
      <c r="H2311" s="8"/>
    </row>
    <row r="2312" spans="6:8" x14ac:dyDescent="0.25">
      <c r="F2312" s="8"/>
      <c r="H2312" s="8"/>
    </row>
    <row r="2313" spans="6:8" x14ac:dyDescent="0.25">
      <c r="F2313" s="8"/>
      <c r="H2313" s="8"/>
    </row>
    <row r="2314" spans="6:8" x14ac:dyDescent="0.25">
      <c r="F2314" s="8"/>
      <c r="H2314" s="8"/>
    </row>
    <row r="2315" spans="6:8" x14ac:dyDescent="0.25">
      <c r="F2315" s="8"/>
      <c r="H2315" s="8"/>
    </row>
    <row r="2316" spans="6:8" x14ac:dyDescent="0.25">
      <c r="F2316" s="8"/>
      <c r="H2316" s="8"/>
    </row>
    <row r="2317" spans="6:8" x14ac:dyDescent="0.25">
      <c r="F2317" s="8"/>
      <c r="H2317" s="8"/>
    </row>
    <row r="2318" spans="6:8" x14ac:dyDescent="0.25">
      <c r="F2318" s="8"/>
      <c r="H2318" s="8"/>
    </row>
    <row r="2319" spans="6:8" x14ac:dyDescent="0.25">
      <c r="F2319" s="8"/>
      <c r="H2319" s="8"/>
    </row>
    <row r="2320" spans="6:8" x14ac:dyDescent="0.25">
      <c r="F2320" s="8"/>
      <c r="H2320" s="8"/>
    </row>
    <row r="2321" spans="6:8" x14ac:dyDescent="0.25">
      <c r="F2321" s="8"/>
      <c r="H2321" s="8"/>
    </row>
    <row r="2322" spans="6:8" x14ac:dyDescent="0.25">
      <c r="F2322" s="8"/>
      <c r="H2322" s="8"/>
    </row>
    <row r="2323" spans="6:8" x14ac:dyDescent="0.25">
      <c r="F2323" s="8"/>
      <c r="H2323" s="8"/>
    </row>
    <row r="2324" spans="6:8" x14ac:dyDescent="0.25">
      <c r="F2324" s="8"/>
      <c r="H2324" s="8"/>
    </row>
    <row r="2325" spans="6:8" x14ac:dyDescent="0.25">
      <c r="F2325" s="8"/>
      <c r="H2325" s="8"/>
    </row>
    <row r="2326" spans="6:8" x14ac:dyDescent="0.25">
      <c r="F2326" s="8"/>
      <c r="H2326" s="8"/>
    </row>
    <row r="2327" spans="6:8" x14ac:dyDescent="0.25">
      <c r="F2327" s="8"/>
      <c r="H2327" s="8"/>
    </row>
    <row r="2328" spans="6:8" x14ac:dyDescent="0.25">
      <c r="F2328" s="8"/>
      <c r="H2328" s="8"/>
    </row>
    <row r="2329" spans="6:8" x14ac:dyDescent="0.25">
      <c r="F2329" s="8"/>
      <c r="H2329" s="8"/>
    </row>
    <row r="2330" spans="6:8" x14ac:dyDescent="0.25">
      <c r="F2330" s="8"/>
      <c r="H2330" s="8"/>
    </row>
    <row r="2331" spans="6:8" x14ac:dyDescent="0.25">
      <c r="F2331" s="8"/>
      <c r="H2331" s="8"/>
    </row>
    <row r="2332" spans="6:8" x14ac:dyDescent="0.25">
      <c r="F2332" s="8"/>
      <c r="H2332" s="8"/>
    </row>
    <row r="2333" spans="6:8" x14ac:dyDescent="0.25">
      <c r="F2333" s="8"/>
      <c r="H2333" s="8"/>
    </row>
    <row r="2334" spans="6:8" x14ac:dyDescent="0.25">
      <c r="F2334" s="8"/>
      <c r="H2334" s="8"/>
    </row>
    <row r="2335" spans="6:8" x14ac:dyDescent="0.25">
      <c r="F2335" s="8"/>
      <c r="H2335" s="8"/>
    </row>
    <row r="2336" spans="6:8" x14ac:dyDescent="0.25">
      <c r="F2336" s="8"/>
      <c r="H2336" s="8"/>
    </row>
    <row r="2337" spans="6:8" x14ac:dyDescent="0.25">
      <c r="F2337" s="8"/>
      <c r="H2337" s="8"/>
    </row>
    <row r="2338" spans="6:8" x14ac:dyDescent="0.25">
      <c r="F2338" s="8"/>
      <c r="H2338" s="8"/>
    </row>
    <row r="2339" spans="6:8" x14ac:dyDescent="0.25">
      <c r="F2339" s="8"/>
      <c r="H2339" s="8"/>
    </row>
    <row r="2340" spans="6:8" x14ac:dyDescent="0.25">
      <c r="F2340" s="8"/>
      <c r="H2340" s="8"/>
    </row>
    <row r="2341" spans="6:8" x14ac:dyDescent="0.25">
      <c r="F2341" s="8"/>
      <c r="H2341" s="8"/>
    </row>
    <row r="2342" spans="6:8" x14ac:dyDescent="0.25">
      <c r="F2342" s="8"/>
      <c r="H2342" s="8"/>
    </row>
    <row r="2343" spans="6:8" x14ac:dyDescent="0.25">
      <c r="F2343" s="8"/>
      <c r="H2343" s="8"/>
    </row>
    <row r="2344" spans="6:8" x14ac:dyDescent="0.25">
      <c r="F2344" s="8"/>
      <c r="H2344" s="8"/>
    </row>
    <row r="2345" spans="6:8" x14ac:dyDescent="0.25">
      <c r="F2345" s="8"/>
      <c r="H2345" s="8"/>
    </row>
    <row r="2346" spans="6:8" x14ac:dyDescent="0.25">
      <c r="F2346" s="8"/>
      <c r="H2346" s="8"/>
    </row>
    <row r="2347" spans="6:8" x14ac:dyDescent="0.25">
      <c r="F2347" s="8"/>
      <c r="H2347" s="8"/>
    </row>
    <row r="2348" spans="6:8" x14ac:dyDescent="0.25">
      <c r="F2348" s="8"/>
      <c r="H2348" s="8"/>
    </row>
    <row r="2349" spans="6:8" x14ac:dyDescent="0.25">
      <c r="F2349" s="8"/>
      <c r="H2349" s="8"/>
    </row>
    <row r="2350" spans="6:8" x14ac:dyDescent="0.25">
      <c r="F2350" s="8"/>
      <c r="H2350" s="8"/>
    </row>
    <row r="2351" spans="6:8" x14ac:dyDescent="0.25">
      <c r="F2351" s="8"/>
      <c r="H2351" s="8"/>
    </row>
    <row r="2352" spans="6:8" x14ac:dyDescent="0.25">
      <c r="F2352" s="8"/>
      <c r="H2352" s="8"/>
    </row>
    <row r="2353" spans="6:8" x14ac:dyDescent="0.25">
      <c r="F2353" s="8"/>
      <c r="H2353" s="8"/>
    </row>
    <row r="2354" spans="6:8" x14ac:dyDescent="0.25">
      <c r="F2354" s="8"/>
      <c r="H2354" s="8"/>
    </row>
    <row r="2355" spans="6:8" x14ac:dyDescent="0.25">
      <c r="F2355" s="8"/>
      <c r="H2355" s="8"/>
    </row>
    <row r="2356" spans="6:8" x14ac:dyDescent="0.25">
      <c r="F2356" s="8"/>
      <c r="H2356" s="8"/>
    </row>
    <row r="2357" spans="6:8" x14ac:dyDescent="0.25">
      <c r="F2357" s="8"/>
      <c r="H2357" s="8"/>
    </row>
    <row r="2358" spans="6:8" x14ac:dyDescent="0.25">
      <c r="F2358" s="8"/>
      <c r="H2358" s="8"/>
    </row>
    <row r="2359" spans="6:8" x14ac:dyDescent="0.25">
      <c r="F2359" s="8"/>
      <c r="H2359" s="8"/>
    </row>
    <row r="2360" spans="6:8" x14ac:dyDescent="0.25">
      <c r="F2360" s="8"/>
      <c r="H2360" s="8"/>
    </row>
    <row r="2361" spans="6:8" x14ac:dyDescent="0.25">
      <c r="F2361" s="8"/>
      <c r="H2361" s="8"/>
    </row>
    <row r="2362" spans="6:8" x14ac:dyDescent="0.25">
      <c r="F2362" s="8"/>
      <c r="H2362" s="8"/>
    </row>
    <row r="2363" spans="6:8" x14ac:dyDescent="0.25">
      <c r="F2363" s="8"/>
      <c r="H2363" s="8"/>
    </row>
    <row r="2364" spans="6:8" x14ac:dyDescent="0.25">
      <c r="F2364" s="8"/>
      <c r="H2364" s="8"/>
    </row>
    <row r="2365" spans="6:8" x14ac:dyDescent="0.25">
      <c r="F2365" s="8"/>
      <c r="H2365" s="8"/>
    </row>
    <row r="2366" spans="6:8" x14ac:dyDescent="0.25">
      <c r="F2366" s="8"/>
      <c r="H2366" s="8"/>
    </row>
    <row r="2367" spans="6:8" x14ac:dyDescent="0.25">
      <c r="F2367" s="8"/>
      <c r="H2367" s="8"/>
    </row>
    <row r="2368" spans="6:8" x14ac:dyDescent="0.25">
      <c r="F2368" s="8"/>
      <c r="H2368" s="8"/>
    </row>
    <row r="2369" spans="6:8" x14ac:dyDescent="0.25">
      <c r="F2369" s="8"/>
      <c r="H2369" s="8"/>
    </row>
    <row r="2370" spans="6:8" x14ac:dyDescent="0.25">
      <c r="F2370" s="8"/>
      <c r="H2370" s="8"/>
    </row>
    <row r="2371" spans="6:8" x14ac:dyDescent="0.25">
      <c r="F2371" s="8"/>
      <c r="H2371" s="8"/>
    </row>
    <row r="2372" spans="6:8" x14ac:dyDescent="0.25">
      <c r="F2372" s="8"/>
      <c r="H2372" s="8"/>
    </row>
    <row r="2373" spans="6:8" x14ac:dyDescent="0.25">
      <c r="F2373" s="8"/>
      <c r="H2373" s="8"/>
    </row>
    <row r="2374" spans="6:8" x14ac:dyDescent="0.25">
      <c r="F2374" s="8"/>
      <c r="H2374" s="8"/>
    </row>
    <row r="2375" spans="6:8" x14ac:dyDescent="0.25">
      <c r="F2375" s="8"/>
      <c r="H2375" s="8"/>
    </row>
    <row r="2376" spans="6:8" x14ac:dyDescent="0.25">
      <c r="F2376" s="8"/>
      <c r="H2376" s="8"/>
    </row>
    <row r="2377" spans="6:8" x14ac:dyDescent="0.25">
      <c r="F2377" s="8"/>
      <c r="H2377" s="8"/>
    </row>
    <row r="2378" spans="6:8" x14ac:dyDescent="0.25">
      <c r="F2378" s="8"/>
      <c r="H2378" s="8"/>
    </row>
    <row r="2379" spans="6:8" x14ac:dyDescent="0.25">
      <c r="F2379" s="8"/>
      <c r="H2379" s="8"/>
    </row>
    <row r="2380" spans="6:8" x14ac:dyDescent="0.25">
      <c r="F2380" s="8"/>
      <c r="H2380" s="8"/>
    </row>
    <row r="2381" spans="6:8" x14ac:dyDescent="0.25">
      <c r="F2381" s="8"/>
      <c r="H2381" s="8"/>
    </row>
    <row r="2382" spans="6:8" x14ac:dyDescent="0.25">
      <c r="F2382" s="8"/>
      <c r="H2382" s="8"/>
    </row>
    <row r="2383" spans="6:8" x14ac:dyDescent="0.25">
      <c r="F2383" s="8"/>
      <c r="H2383" s="8"/>
    </row>
    <row r="2384" spans="6:8" x14ac:dyDescent="0.25">
      <c r="F2384" s="8"/>
      <c r="H2384" s="8"/>
    </row>
    <row r="2385" spans="6:8" x14ac:dyDescent="0.25">
      <c r="F2385" s="8"/>
      <c r="H2385" s="8"/>
    </row>
    <row r="2386" spans="6:8" x14ac:dyDescent="0.25">
      <c r="F2386" s="8"/>
      <c r="H2386" s="8"/>
    </row>
    <row r="2387" spans="6:8" x14ac:dyDescent="0.25">
      <c r="F2387" s="8"/>
      <c r="H2387" s="8"/>
    </row>
    <row r="2388" spans="6:8" x14ac:dyDescent="0.25">
      <c r="F2388" s="8"/>
      <c r="H2388" s="8"/>
    </row>
    <row r="2389" spans="6:8" x14ac:dyDescent="0.25">
      <c r="F2389" s="8"/>
      <c r="H2389" s="8"/>
    </row>
    <row r="2390" spans="6:8" x14ac:dyDescent="0.25">
      <c r="F2390" s="8"/>
      <c r="H2390" s="8"/>
    </row>
    <row r="2391" spans="6:8" x14ac:dyDescent="0.25">
      <c r="F2391" s="8"/>
      <c r="H2391" s="8"/>
    </row>
    <row r="2392" spans="6:8" x14ac:dyDescent="0.25">
      <c r="F2392" s="8"/>
      <c r="H2392" s="8"/>
    </row>
    <row r="2393" spans="6:8" x14ac:dyDescent="0.25">
      <c r="F2393" s="8"/>
      <c r="H2393" s="8"/>
    </row>
    <row r="2394" spans="6:8" x14ac:dyDescent="0.25">
      <c r="F2394" s="8"/>
      <c r="H2394" s="8"/>
    </row>
    <row r="2395" spans="6:8" x14ac:dyDescent="0.25">
      <c r="F2395" s="8"/>
      <c r="H2395" s="8"/>
    </row>
    <row r="2396" spans="6:8" x14ac:dyDescent="0.25">
      <c r="F2396" s="8"/>
      <c r="H2396" s="8"/>
    </row>
    <row r="2397" spans="6:8" x14ac:dyDescent="0.25">
      <c r="F2397" s="8"/>
      <c r="H2397" s="8"/>
    </row>
    <row r="2398" spans="6:8" x14ac:dyDescent="0.25">
      <c r="F2398" s="8"/>
      <c r="H2398" s="8"/>
    </row>
    <row r="2399" spans="6:8" x14ac:dyDescent="0.25">
      <c r="F2399" s="8"/>
      <c r="H2399" s="8"/>
    </row>
    <row r="2400" spans="6:8" x14ac:dyDescent="0.25">
      <c r="F2400" s="8"/>
      <c r="H2400" s="8"/>
    </row>
    <row r="2401" spans="6:8" x14ac:dyDescent="0.25">
      <c r="F2401" s="8"/>
      <c r="H2401" s="8"/>
    </row>
    <row r="2402" spans="6:8" x14ac:dyDescent="0.25">
      <c r="F2402" s="8"/>
      <c r="H2402" s="8"/>
    </row>
    <row r="2403" spans="6:8" x14ac:dyDescent="0.25">
      <c r="F2403" s="8"/>
      <c r="H2403" s="8"/>
    </row>
    <row r="2404" spans="6:8" x14ac:dyDescent="0.25">
      <c r="F2404" s="8"/>
      <c r="H2404" s="8"/>
    </row>
    <row r="2405" spans="6:8" x14ac:dyDescent="0.25">
      <c r="F2405" s="8"/>
      <c r="H2405" s="8"/>
    </row>
    <row r="2406" spans="6:8" x14ac:dyDescent="0.25">
      <c r="F2406" s="8"/>
      <c r="H2406" s="8"/>
    </row>
    <row r="2407" spans="6:8" x14ac:dyDescent="0.25">
      <c r="F2407" s="8"/>
      <c r="H2407" s="8"/>
    </row>
    <row r="2408" spans="6:8" x14ac:dyDescent="0.25">
      <c r="F2408" s="8"/>
      <c r="H2408" s="8"/>
    </row>
    <row r="2409" spans="6:8" x14ac:dyDescent="0.25">
      <c r="F2409" s="8"/>
      <c r="H2409" s="8"/>
    </row>
    <row r="2410" spans="6:8" x14ac:dyDescent="0.25">
      <c r="F2410" s="8"/>
      <c r="H2410" s="8"/>
    </row>
    <row r="2411" spans="6:8" x14ac:dyDescent="0.25">
      <c r="F2411" s="8"/>
      <c r="H2411" s="8"/>
    </row>
    <row r="2412" spans="6:8" x14ac:dyDescent="0.25">
      <c r="F2412" s="8"/>
      <c r="H2412" s="8"/>
    </row>
    <row r="2413" spans="6:8" x14ac:dyDescent="0.25">
      <c r="F2413" s="8"/>
      <c r="H2413" s="8"/>
    </row>
    <row r="2414" spans="6:8" x14ac:dyDescent="0.25">
      <c r="F2414" s="8"/>
      <c r="H2414" s="8"/>
    </row>
    <row r="2415" spans="6:8" x14ac:dyDescent="0.25">
      <c r="F2415" s="8"/>
      <c r="H2415" s="8"/>
    </row>
    <row r="2416" spans="6:8" x14ac:dyDescent="0.25">
      <c r="F2416" s="8"/>
      <c r="H2416" s="8"/>
    </row>
    <row r="2417" spans="6:8" x14ac:dyDescent="0.25">
      <c r="F2417" s="8"/>
      <c r="H2417" s="8"/>
    </row>
    <row r="2418" spans="6:8" x14ac:dyDescent="0.25">
      <c r="F2418" s="8"/>
      <c r="H2418" s="8"/>
    </row>
    <row r="2419" spans="6:8" x14ac:dyDescent="0.25">
      <c r="F2419" s="8"/>
      <c r="H2419" s="8"/>
    </row>
    <row r="2420" spans="6:8" x14ac:dyDescent="0.25">
      <c r="F2420" s="8"/>
      <c r="H2420" s="8"/>
    </row>
    <row r="2421" spans="6:8" x14ac:dyDescent="0.25">
      <c r="F2421" s="8"/>
      <c r="H2421" s="8"/>
    </row>
    <row r="2422" spans="6:8" x14ac:dyDescent="0.25">
      <c r="F2422" s="8"/>
      <c r="H2422" s="8"/>
    </row>
    <row r="2423" spans="6:8" x14ac:dyDescent="0.25">
      <c r="F2423" s="8"/>
      <c r="H2423" s="8"/>
    </row>
    <row r="2424" spans="6:8" x14ac:dyDescent="0.25">
      <c r="F2424" s="8"/>
      <c r="H2424" s="8"/>
    </row>
    <row r="2425" spans="6:8" x14ac:dyDescent="0.25">
      <c r="F2425" s="8"/>
      <c r="H2425" s="8"/>
    </row>
    <row r="2426" spans="6:8" x14ac:dyDescent="0.25">
      <c r="F2426" s="8"/>
      <c r="H2426" s="8"/>
    </row>
    <row r="2427" spans="6:8" x14ac:dyDescent="0.25">
      <c r="F2427" s="8"/>
      <c r="H2427" s="8"/>
    </row>
    <row r="2428" spans="6:8" x14ac:dyDescent="0.25">
      <c r="F2428" s="8"/>
      <c r="H2428" s="8"/>
    </row>
    <row r="2429" spans="6:8" x14ac:dyDescent="0.25">
      <c r="F2429" s="8"/>
      <c r="H2429" s="8"/>
    </row>
    <row r="2430" spans="6:8" x14ac:dyDescent="0.25">
      <c r="F2430" s="8"/>
      <c r="H2430" s="8"/>
    </row>
    <row r="2431" spans="6:8" x14ac:dyDescent="0.25">
      <c r="F2431" s="8"/>
      <c r="H2431" s="8"/>
    </row>
    <row r="2432" spans="6:8" x14ac:dyDescent="0.25">
      <c r="F2432" s="8"/>
      <c r="H2432" s="8"/>
    </row>
    <row r="2433" spans="6:8" x14ac:dyDescent="0.25">
      <c r="F2433" s="8"/>
      <c r="H2433" s="8"/>
    </row>
    <row r="2434" spans="6:8" x14ac:dyDescent="0.25">
      <c r="F2434" s="8"/>
      <c r="H2434" s="8"/>
    </row>
    <row r="2435" spans="6:8" x14ac:dyDescent="0.25">
      <c r="F2435" s="8"/>
      <c r="H2435" s="8"/>
    </row>
    <row r="2436" spans="6:8" x14ac:dyDescent="0.25">
      <c r="F2436" s="8"/>
      <c r="H2436" s="8"/>
    </row>
    <row r="2437" spans="6:8" x14ac:dyDescent="0.25">
      <c r="F2437" s="8"/>
      <c r="H2437" s="8"/>
    </row>
    <row r="2438" spans="6:8" x14ac:dyDescent="0.25">
      <c r="F2438" s="8"/>
      <c r="H2438" s="8"/>
    </row>
    <row r="2439" spans="6:8" x14ac:dyDescent="0.25">
      <c r="F2439" s="8"/>
      <c r="H2439" s="8"/>
    </row>
    <row r="2440" spans="6:8" x14ac:dyDescent="0.25">
      <c r="F2440" s="8"/>
      <c r="H2440" s="8"/>
    </row>
    <row r="2441" spans="6:8" x14ac:dyDescent="0.25">
      <c r="F2441" s="8"/>
      <c r="H2441" s="8"/>
    </row>
    <row r="2442" spans="6:8" x14ac:dyDescent="0.25">
      <c r="F2442" s="8"/>
      <c r="H2442" s="8"/>
    </row>
    <row r="2443" spans="6:8" x14ac:dyDescent="0.25">
      <c r="F2443" s="8"/>
      <c r="H2443" s="8"/>
    </row>
    <row r="2444" spans="6:8" x14ac:dyDescent="0.25">
      <c r="F2444" s="8"/>
      <c r="H2444" s="8"/>
    </row>
    <row r="2445" spans="6:8" x14ac:dyDescent="0.25">
      <c r="F2445" s="8"/>
      <c r="H2445" s="8"/>
    </row>
    <row r="2446" spans="6:8" x14ac:dyDescent="0.25">
      <c r="F2446" s="8"/>
      <c r="H2446" s="8"/>
    </row>
    <row r="2447" spans="6:8" x14ac:dyDescent="0.25">
      <c r="F2447" s="8"/>
      <c r="H2447" s="8"/>
    </row>
    <row r="2448" spans="6:8" x14ac:dyDescent="0.25">
      <c r="F2448" s="8"/>
      <c r="H2448" s="8"/>
    </row>
    <row r="2449" spans="6:8" x14ac:dyDescent="0.25">
      <c r="F2449" s="8"/>
      <c r="H2449" s="8"/>
    </row>
    <row r="2450" spans="6:8" x14ac:dyDescent="0.25">
      <c r="F2450" s="8"/>
      <c r="H2450" s="8"/>
    </row>
    <row r="2451" spans="6:8" x14ac:dyDescent="0.25">
      <c r="F2451" s="8"/>
      <c r="H2451" s="8"/>
    </row>
    <row r="2452" spans="6:8" x14ac:dyDescent="0.25">
      <c r="F2452" s="8"/>
      <c r="H2452" s="8"/>
    </row>
    <row r="2453" spans="6:8" x14ac:dyDescent="0.25">
      <c r="F2453" s="8"/>
      <c r="H2453" s="8"/>
    </row>
    <row r="2454" spans="6:8" x14ac:dyDescent="0.25">
      <c r="F2454" s="8"/>
      <c r="H2454" s="8"/>
    </row>
    <row r="2455" spans="6:8" x14ac:dyDescent="0.25">
      <c r="F2455" s="8"/>
      <c r="H2455" s="8"/>
    </row>
    <row r="2456" spans="6:8" x14ac:dyDescent="0.25">
      <c r="F2456" s="8"/>
      <c r="H2456" s="8"/>
    </row>
    <row r="2457" spans="6:8" x14ac:dyDescent="0.25">
      <c r="F2457" s="8"/>
      <c r="H2457" s="8"/>
    </row>
    <row r="2458" spans="6:8" x14ac:dyDescent="0.25">
      <c r="F2458" s="8"/>
      <c r="H2458" s="8"/>
    </row>
    <row r="2459" spans="6:8" x14ac:dyDescent="0.25">
      <c r="F2459" s="8"/>
      <c r="H2459" s="8"/>
    </row>
    <row r="2460" spans="6:8" x14ac:dyDescent="0.25">
      <c r="F2460" s="8"/>
      <c r="H2460" s="8"/>
    </row>
    <row r="2461" spans="6:8" x14ac:dyDescent="0.25">
      <c r="F2461" s="8"/>
      <c r="H2461" s="8"/>
    </row>
    <row r="2462" spans="6:8" x14ac:dyDescent="0.25">
      <c r="F2462" s="8"/>
      <c r="H2462" s="8"/>
    </row>
    <row r="2463" spans="6:8" x14ac:dyDescent="0.25">
      <c r="F2463" s="8"/>
      <c r="H2463" s="8"/>
    </row>
    <row r="2464" spans="6:8" x14ac:dyDescent="0.25">
      <c r="F2464" s="8"/>
      <c r="H2464" s="8"/>
    </row>
    <row r="2465" spans="6:8" x14ac:dyDescent="0.25">
      <c r="F2465" s="8"/>
      <c r="H2465" s="8"/>
    </row>
    <row r="2466" spans="6:8" x14ac:dyDescent="0.25">
      <c r="F2466" s="8"/>
      <c r="H2466" s="8"/>
    </row>
    <row r="2467" spans="6:8" x14ac:dyDescent="0.25">
      <c r="F2467" s="8"/>
      <c r="H2467" s="8"/>
    </row>
    <row r="2468" spans="6:8" x14ac:dyDescent="0.25">
      <c r="F2468" s="8"/>
      <c r="H2468" s="8"/>
    </row>
    <row r="2469" spans="6:8" x14ac:dyDescent="0.25">
      <c r="F2469" s="8"/>
      <c r="H2469" s="8"/>
    </row>
    <row r="2470" spans="6:8" x14ac:dyDescent="0.25">
      <c r="F2470" s="8"/>
      <c r="H2470" s="8"/>
    </row>
    <row r="2471" spans="6:8" x14ac:dyDescent="0.25">
      <c r="F2471" s="8"/>
      <c r="H2471" s="8"/>
    </row>
    <row r="2472" spans="6:8" x14ac:dyDescent="0.25">
      <c r="F2472" s="8"/>
      <c r="H2472" s="8"/>
    </row>
    <row r="2473" spans="6:8" x14ac:dyDescent="0.25">
      <c r="F2473" s="8"/>
      <c r="H2473" s="8"/>
    </row>
    <row r="2474" spans="6:8" x14ac:dyDescent="0.25">
      <c r="F2474" s="8"/>
      <c r="H2474" s="8"/>
    </row>
    <row r="2475" spans="6:8" x14ac:dyDescent="0.25">
      <c r="F2475" s="8"/>
      <c r="H2475" s="8"/>
    </row>
    <row r="2476" spans="6:8" x14ac:dyDescent="0.25">
      <c r="F2476" s="8"/>
      <c r="H2476" s="8"/>
    </row>
    <row r="2477" spans="6:8" x14ac:dyDescent="0.25">
      <c r="F2477" s="8"/>
      <c r="H2477" s="8"/>
    </row>
    <row r="2478" spans="6:8" x14ac:dyDescent="0.25">
      <c r="F2478" s="8"/>
      <c r="H2478" s="8"/>
    </row>
    <row r="2479" spans="6:8" x14ac:dyDescent="0.25">
      <c r="F2479" s="8"/>
      <c r="H2479" s="8"/>
    </row>
    <row r="2480" spans="6:8" x14ac:dyDescent="0.25">
      <c r="F2480" s="8"/>
      <c r="H2480" s="8"/>
    </row>
    <row r="2481" spans="6:8" x14ac:dyDescent="0.25">
      <c r="F2481" s="8"/>
      <c r="H2481" s="8"/>
    </row>
    <row r="2482" spans="6:8" x14ac:dyDescent="0.25">
      <c r="F2482" s="8"/>
      <c r="H2482" s="8"/>
    </row>
    <row r="2483" spans="6:8" x14ac:dyDescent="0.25">
      <c r="F2483" s="8"/>
      <c r="H2483" s="8"/>
    </row>
    <row r="2484" spans="6:8" x14ac:dyDescent="0.25">
      <c r="F2484" s="8"/>
      <c r="H2484" s="8"/>
    </row>
    <row r="2485" spans="6:8" x14ac:dyDescent="0.25">
      <c r="F2485" s="8"/>
      <c r="H2485" s="8"/>
    </row>
    <row r="2486" spans="6:8" x14ac:dyDescent="0.25">
      <c r="F2486" s="8"/>
      <c r="H2486" s="8"/>
    </row>
    <row r="2487" spans="6:8" x14ac:dyDescent="0.25">
      <c r="F2487" s="8"/>
      <c r="H2487" s="8"/>
    </row>
    <row r="2488" spans="6:8" x14ac:dyDescent="0.25">
      <c r="F2488" s="8"/>
      <c r="H2488" s="8"/>
    </row>
    <row r="2489" spans="6:8" x14ac:dyDescent="0.25">
      <c r="F2489" s="8"/>
      <c r="H2489" s="8"/>
    </row>
    <row r="2490" spans="6:8" x14ac:dyDescent="0.25">
      <c r="F2490" s="8"/>
      <c r="H2490" s="8"/>
    </row>
    <row r="2491" spans="6:8" x14ac:dyDescent="0.25">
      <c r="F2491" s="8"/>
      <c r="H2491" s="8"/>
    </row>
    <row r="2492" spans="6:8" x14ac:dyDescent="0.25">
      <c r="F2492" s="8"/>
      <c r="H2492" s="8"/>
    </row>
    <row r="2493" spans="6:8" x14ac:dyDescent="0.25">
      <c r="F2493" s="8"/>
      <c r="H2493" s="8"/>
    </row>
    <row r="2494" spans="6:8" x14ac:dyDescent="0.25">
      <c r="F2494" s="8"/>
      <c r="H2494" s="8"/>
    </row>
    <row r="2495" spans="6:8" x14ac:dyDescent="0.25">
      <c r="F2495" s="8"/>
      <c r="H2495" s="8"/>
    </row>
    <row r="2496" spans="6:8" x14ac:dyDescent="0.25">
      <c r="F2496" s="8"/>
      <c r="H2496" s="8"/>
    </row>
    <row r="2497" spans="6:8" x14ac:dyDescent="0.25">
      <c r="F2497" s="8"/>
      <c r="H2497" s="8"/>
    </row>
    <row r="2498" spans="6:8" x14ac:dyDescent="0.25">
      <c r="F2498" s="8"/>
      <c r="H2498" s="8"/>
    </row>
    <row r="2499" spans="6:8" x14ac:dyDescent="0.25">
      <c r="F2499" s="8"/>
      <c r="H2499" s="8"/>
    </row>
    <row r="2500" spans="6:8" x14ac:dyDescent="0.25">
      <c r="F2500" s="8"/>
      <c r="H2500" s="8"/>
    </row>
    <row r="2501" spans="6:8" x14ac:dyDescent="0.25">
      <c r="F2501" s="8"/>
      <c r="H2501" s="8"/>
    </row>
    <row r="2502" spans="6:8" x14ac:dyDescent="0.25">
      <c r="F2502" s="8"/>
      <c r="H2502" s="8"/>
    </row>
    <row r="2503" spans="6:8" x14ac:dyDescent="0.25">
      <c r="F2503" s="8"/>
      <c r="H2503" s="8"/>
    </row>
    <row r="2504" spans="6:8" x14ac:dyDescent="0.25">
      <c r="F2504" s="8"/>
      <c r="H2504" s="8"/>
    </row>
    <row r="2505" spans="6:8" x14ac:dyDescent="0.25">
      <c r="F2505" s="8"/>
      <c r="H2505" s="8"/>
    </row>
    <row r="2506" spans="6:8" x14ac:dyDescent="0.25">
      <c r="F2506" s="8"/>
      <c r="H2506" s="8"/>
    </row>
    <row r="2507" spans="6:8" x14ac:dyDescent="0.25">
      <c r="F2507" s="8"/>
      <c r="H2507" s="8"/>
    </row>
    <row r="2508" spans="6:8" x14ac:dyDescent="0.25">
      <c r="F2508" s="8"/>
      <c r="H2508" s="8"/>
    </row>
    <row r="2509" spans="6:8" x14ac:dyDescent="0.25">
      <c r="F2509" s="8"/>
      <c r="H2509" s="8"/>
    </row>
    <row r="2510" spans="6:8" x14ac:dyDescent="0.25">
      <c r="F2510" s="8"/>
      <c r="H2510" s="8"/>
    </row>
    <row r="2511" spans="6:8" x14ac:dyDescent="0.25">
      <c r="F2511" s="8"/>
      <c r="H2511" s="8"/>
    </row>
    <row r="2512" spans="6:8" x14ac:dyDescent="0.25">
      <c r="F2512" s="8"/>
      <c r="H2512" s="8"/>
    </row>
    <row r="2513" spans="6:8" x14ac:dyDescent="0.25">
      <c r="F2513" s="8"/>
      <c r="H2513" s="8"/>
    </row>
    <row r="2514" spans="6:8" x14ac:dyDescent="0.25">
      <c r="F2514" s="8"/>
      <c r="H2514" s="8"/>
    </row>
    <row r="2515" spans="6:8" x14ac:dyDescent="0.25">
      <c r="F2515" s="8"/>
      <c r="H2515" s="8"/>
    </row>
    <row r="2516" spans="6:8" x14ac:dyDescent="0.25">
      <c r="F2516" s="8"/>
      <c r="H2516" s="8"/>
    </row>
    <row r="2517" spans="6:8" x14ac:dyDescent="0.25">
      <c r="F2517" s="8"/>
      <c r="H2517" s="8"/>
    </row>
    <row r="2518" spans="6:8" x14ac:dyDescent="0.25">
      <c r="F2518" s="8"/>
      <c r="H2518" s="8"/>
    </row>
    <row r="2519" spans="6:8" x14ac:dyDescent="0.25">
      <c r="F2519" s="8"/>
      <c r="H2519" s="8"/>
    </row>
    <row r="2520" spans="6:8" x14ac:dyDescent="0.25">
      <c r="F2520" s="8"/>
      <c r="H2520" s="8"/>
    </row>
    <row r="2521" spans="6:8" x14ac:dyDescent="0.25">
      <c r="F2521" s="8"/>
      <c r="H2521" s="8"/>
    </row>
    <row r="2522" spans="6:8" x14ac:dyDescent="0.25">
      <c r="F2522" s="8"/>
      <c r="H2522" s="8"/>
    </row>
    <row r="2523" spans="6:8" x14ac:dyDescent="0.25">
      <c r="F2523" s="8"/>
      <c r="H2523" s="8"/>
    </row>
    <row r="2524" spans="6:8" x14ac:dyDescent="0.25">
      <c r="F2524" s="8"/>
      <c r="H2524" s="8"/>
    </row>
    <row r="2525" spans="6:8" x14ac:dyDescent="0.25">
      <c r="F2525" s="8"/>
      <c r="H2525" s="8"/>
    </row>
    <row r="2526" spans="6:8" x14ac:dyDescent="0.25">
      <c r="F2526" s="8"/>
      <c r="H2526" s="8"/>
    </row>
    <row r="2527" spans="6:8" x14ac:dyDescent="0.25">
      <c r="F2527" s="8"/>
      <c r="H2527" s="8"/>
    </row>
    <row r="2528" spans="6:8" x14ac:dyDescent="0.25">
      <c r="F2528" s="8"/>
      <c r="H2528" s="8"/>
    </row>
    <row r="2529" spans="6:8" x14ac:dyDescent="0.25">
      <c r="F2529" s="8"/>
      <c r="H2529" s="8"/>
    </row>
    <row r="2530" spans="6:8" x14ac:dyDescent="0.25">
      <c r="F2530" s="8"/>
      <c r="H2530" s="8"/>
    </row>
    <row r="2531" spans="6:8" x14ac:dyDescent="0.25">
      <c r="F2531" s="8"/>
      <c r="H2531" s="8"/>
    </row>
    <row r="2532" spans="6:8" x14ac:dyDescent="0.25">
      <c r="F2532" s="8"/>
      <c r="H2532" s="8"/>
    </row>
    <row r="2533" spans="6:8" x14ac:dyDescent="0.25">
      <c r="F2533" s="8"/>
      <c r="H2533" s="8"/>
    </row>
    <row r="2534" spans="6:8" x14ac:dyDescent="0.25">
      <c r="F2534" s="8"/>
      <c r="H2534" s="8"/>
    </row>
    <row r="2535" spans="6:8" x14ac:dyDescent="0.25">
      <c r="F2535" s="8"/>
      <c r="H2535" s="8"/>
    </row>
    <row r="2536" spans="6:8" x14ac:dyDescent="0.25">
      <c r="F2536" s="8"/>
      <c r="H2536" s="8"/>
    </row>
    <row r="2537" spans="6:8" x14ac:dyDescent="0.25">
      <c r="F2537" s="8"/>
      <c r="H2537" s="8"/>
    </row>
    <row r="2538" spans="6:8" x14ac:dyDescent="0.25">
      <c r="F2538" s="8"/>
      <c r="H2538" s="8"/>
    </row>
    <row r="2539" spans="6:8" x14ac:dyDescent="0.25">
      <c r="F2539" s="8"/>
      <c r="H2539" s="8"/>
    </row>
    <row r="2540" spans="6:8" x14ac:dyDescent="0.25">
      <c r="F2540" s="8"/>
      <c r="H2540" s="8"/>
    </row>
    <row r="2541" spans="6:8" x14ac:dyDescent="0.25">
      <c r="F2541" s="8"/>
      <c r="H2541" s="8"/>
    </row>
    <row r="2542" spans="6:8" x14ac:dyDescent="0.25">
      <c r="F2542" s="8"/>
      <c r="H2542" s="8"/>
    </row>
    <row r="2543" spans="6:8" x14ac:dyDescent="0.25">
      <c r="F2543" s="8"/>
      <c r="H2543" s="8"/>
    </row>
    <row r="2544" spans="6:8" x14ac:dyDescent="0.25">
      <c r="F2544" s="8"/>
      <c r="H2544" s="8"/>
    </row>
    <row r="2545" spans="6:8" x14ac:dyDescent="0.25">
      <c r="F2545" s="8"/>
      <c r="H2545" s="8"/>
    </row>
    <row r="2546" spans="6:8" x14ac:dyDescent="0.25">
      <c r="F2546" s="8"/>
      <c r="H2546" s="8"/>
    </row>
    <row r="2547" spans="6:8" x14ac:dyDescent="0.25">
      <c r="F2547" s="8"/>
      <c r="H2547" s="8"/>
    </row>
    <row r="2548" spans="6:8" x14ac:dyDescent="0.25">
      <c r="F2548" s="8"/>
      <c r="H2548" s="8"/>
    </row>
    <row r="2549" spans="6:8" x14ac:dyDescent="0.25">
      <c r="F2549" s="8"/>
      <c r="H2549" s="8"/>
    </row>
    <row r="2550" spans="6:8" x14ac:dyDescent="0.25">
      <c r="F2550" s="8"/>
      <c r="H2550" s="8"/>
    </row>
    <row r="2551" spans="6:8" x14ac:dyDescent="0.25">
      <c r="F2551" s="8"/>
      <c r="H2551" s="8"/>
    </row>
    <row r="2552" spans="6:8" x14ac:dyDescent="0.25">
      <c r="F2552" s="8"/>
      <c r="H2552" s="8"/>
    </row>
    <row r="2553" spans="6:8" x14ac:dyDescent="0.25">
      <c r="F2553" s="8"/>
      <c r="H2553" s="8"/>
    </row>
    <row r="2554" spans="6:8" x14ac:dyDescent="0.25">
      <c r="F2554" s="8"/>
      <c r="H2554" s="8"/>
    </row>
    <row r="2555" spans="6:8" x14ac:dyDescent="0.25">
      <c r="F2555" s="8"/>
      <c r="H2555" s="8"/>
    </row>
    <row r="2556" spans="6:8" x14ac:dyDescent="0.25">
      <c r="F2556" s="8"/>
      <c r="H2556" s="8"/>
    </row>
    <row r="2557" spans="6:8" x14ac:dyDescent="0.25">
      <c r="F2557" s="8"/>
      <c r="H2557" s="8"/>
    </row>
    <row r="2558" spans="6:8" x14ac:dyDescent="0.25">
      <c r="F2558" s="8"/>
      <c r="H2558" s="8"/>
    </row>
    <row r="2559" spans="6:8" x14ac:dyDescent="0.25">
      <c r="F2559" s="8"/>
      <c r="H2559" s="8"/>
    </row>
    <row r="2560" spans="6:8" x14ac:dyDescent="0.25">
      <c r="F2560" s="8"/>
      <c r="H2560" s="8"/>
    </row>
    <row r="2561" spans="6:8" x14ac:dyDescent="0.25">
      <c r="F2561" s="8"/>
      <c r="H2561" s="8"/>
    </row>
    <row r="2562" spans="6:8" x14ac:dyDescent="0.25">
      <c r="F2562" s="8"/>
      <c r="H2562" s="8"/>
    </row>
    <row r="2563" spans="6:8" x14ac:dyDescent="0.25">
      <c r="F2563" s="8"/>
      <c r="H2563" s="8"/>
    </row>
    <row r="2564" spans="6:8" x14ac:dyDescent="0.25">
      <c r="F2564" s="8"/>
      <c r="H2564" s="8"/>
    </row>
    <row r="2565" spans="6:8" x14ac:dyDescent="0.25">
      <c r="F2565" s="8"/>
      <c r="H2565" s="8"/>
    </row>
    <row r="2566" spans="6:8" x14ac:dyDescent="0.25">
      <c r="F2566" s="8"/>
      <c r="H2566" s="8"/>
    </row>
    <row r="2567" spans="6:8" x14ac:dyDescent="0.25">
      <c r="F2567" s="8"/>
      <c r="H2567" s="8"/>
    </row>
    <row r="2568" spans="6:8" x14ac:dyDescent="0.25">
      <c r="F2568" s="8"/>
      <c r="H2568" s="8"/>
    </row>
    <row r="2569" spans="6:8" x14ac:dyDescent="0.25">
      <c r="F2569" s="8"/>
      <c r="H2569" s="8"/>
    </row>
    <row r="2570" spans="6:8" x14ac:dyDescent="0.25">
      <c r="F2570" s="8"/>
      <c r="H2570" s="8"/>
    </row>
    <row r="2571" spans="6:8" x14ac:dyDescent="0.25">
      <c r="F2571" s="8"/>
      <c r="H2571" s="8"/>
    </row>
    <row r="2572" spans="6:8" x14ac:dyDescent="0.25">
      <c r="F2572" s="8"/>
      <c r="H2572" s="8"/>
    </row>
    <row r="2573" spans="6:8" x14ac:dyDescent="0.25">
      <c r="F2573" s="8"/>
      <c r="H2573" s="8"/>
    </row>
    <row r="2574" spans="6:8" x14ac:dyDescent="0.25">
      <c r="F2574" s="8"/>
      <c r="H2574" s="8"/>
    </row>
    <row r="2575" spans="6:8" x14ac:dyDescent="0.25">
      <c r="F2575" s="8"/>
      <c r="H2575" s="8"/>
    </row>
    <row r="2576" spans="6:8" x14ac:dyDescent="0.25">
      <c r="F2576" s="8"/>
      <c r="H2576" s="8"/>
    </row>
    <row r="2577" spans="6:8" x14ac:dyDescent="0.25">
      <c r="F2577" s="8"/>
      <c r="H2577" s="8"/>
    </row>
    <row r="2578" spans="6:8" x14ac:dyDescent="0.25">
      <c r="F2578" s="8"/>
      <c r="H2578" s="8"/>
    </row>
    <row r="2579" spans="6:8" x14ac:dyDescent="0.25">
      <c r="F2579" s="8"/>
      <c r="H2579" s="8"/>
    </row>
    <row r="2580" spans="6:8" x14ac:dyDescent="0.25">
      <c r="F2580" s="8"/>
      <c r="H2580" s="8"/>
    </row>
    <row r="2581" spans="6:8" x14ac:dyDescent="0.25">
      <c r="F2581" s="8"/>
      <c r="H2581" s="8"/>
    </row>
    <row r="2582" spans="6:8" x14ac:dyDescent="0.25">
      <c r="F2582" s="8"/>
      <c r="H2582" s="8"/>
    </row>
    <row r="2583" spans="6:8" x14ac:dyDescent="0.25">
      <c r="F2583" s="8"/>
      <c r="H2583" s="8"/>
    </row>
    <row r="2584" spans="6:8" x14ac:dyDescent="0.25">
      <c r="F2584" s="8"/>
      <c r="H2584" s="8"/>
    </row>
    <row r="2585" spans="6:8" x14ac:dyDescent="0.25">
      <c r="F2585" s="8"/>
      <c r="H2585" s="8"/>
    </row>
    <row r="2586" spans="6:8" x14ac:dyDescent="0.25">
      <c r="F2586" s="8"/>
      <c r="H2586" s="8"/>
    </row>
    <row r="2587" spans="6:8" x14ac:dyDescent="0.25">
      <c r="F2587" s="8"/>
      <c r="H2587" s="8"/>
    </row>
    <row r="2588" spans="6:8" x14ac:dyDescent="0.25">
      <c r="F2588" s="8"/>
      <c r="H2588" s="8"/>
    </row>
    <row r="2589" spans="6:8" x14ac:dyDescent="0.25">
      <c r="F2589" s="8"/>
      <c r="H2589" s="8"/>
    </row>
    <row r="2590" spans="6:8" x14ac:dyDescent="0.25">
      <c r="F2590" s="8"/>
      <c r="H2590" s="8"/>
    </row>
    <row r="2591" spans="6:8" x14ac:dyDescent="0.25">
      <c r="F2591" s="8"/>
      <c r="H2591" s="8"/>
    </row>
    <row r="2592" spans="6:8" x14ac:dyDescent="0.25">
      <c r="F2592" s="8"/>
      <c r="H2592" s="8"/>
    </row>
    <row r="2593" spans="6:8" x14ac:dyDescent="0.25">
      <c r="F2593" s="8"/>
      <c r="H2593" s="8"/>
    </row>
    <row r="2594" spans="6:8" x14ac:dyDescent="0.25">
      <c r="F2594" s="8"/>
      <c r="H2594" s="8"/>
    </row>
    <row r="2595" spans="6:8" x14ac:dyDescent="0.25">
      <c r="F2595" s="8"/>
      <c r="H2595" s="8"/>
    </row>
    <row r="2596" spans="6:8" x14ac:dyDescent="0.25">
      <c r="F2596" s="8"/>
      <c r="H2596" s="8"/>
    </row>
    <row r="2597" spans="6:8" x14ac:dyDescent="0.25">
      <c r="F2597" s="8"/>
      <c r="H2597" s="8"/>
    </row>
    <row r="2598" spans="6:8" x14ac:dyDescent="0.25">
      <c r="F2598" s="8"/>
      <c r="H2598" s="8"/>
    </row>
    <row r="2599" spans="6:8" x14ac:dyDescent="0.25">
      <c r="F2599" s="8"/>
      <c r="H2599" s="8"/>
    </row>
    <row r="2600" spans="6:8" x14ac:dyDescent="0.25">
      <c r="F2600" s="8"/>
      <c r="H2600" s="8"/>
    </row>
    <row r="2601" spans="6:8" x14ac:dyDescent="0.25">
      <c r="F2601" s="8"/>
      <c r="H2601" s="8"/>
    </row>
    <row r="2602" spans="6:8" x14ac:dyDescent="0.25">
      <c r="F2602" s="8"/>
      <c r="H2602" s="8"/>
    </row>
    <row r="2603" spans="6:8" x14ac:dyDescent="0.25">
      <c r="F2603" s="8"/>
      <c r="H2603" s="8"/>
    </row>
    <row r="2604" spans="6:8" x14ac:dyDescent="0.25">
      <c r="F2604" s="8"/>
      <c r="H2604" s="8"/>
    </row>
    <row r="2605" spans="6:8" x14ac:dyDescent="0.25">
      <c r="F2605" s="8"/>
      <c r="H2605" s="8"/>
    </row>
    <row r="2606" spans="6:8" x14ac:dyDescent="0.25">
      <c r="F2606" s="8"/>
      <c r="H2606" s="8"/>
    </row>
    <row r="2607" spans="6:8" x14ac:dyDescent="0.25">
      <c r="F2607" s="8"/>
      <c r="H2607" s="8"/>
    </row>
    <row r="2608" spans="6:8" x14ac:dyDescent="0.25">
      <c r="F2608" s="8"/>
      <c r="H2608" s="8"/>
    </row>
    <row r="2609" spans="6:8" x14ac:dyDescent="0.25">
      <c r="F2609" s="8"/>
      <c r="H2609" s="8"/>
    </row>
    <row r="2610" spans="6:8" x14ac:dyDescent="0.25">
      <c r="F2610" s="8"/>
      <c r="H2610" s="8"/>
    </row>
    <row r="2611" spans="6:8" x14ac:dyDescent="0.25">
      <c r="F2611" s="8"/>
      <c r="H2611" s="8"/>
    </row>
    <row r="2612" spans="6:8" x14ac:dyDescent="0.25">
      <c r="F2612" s="8"/>
      <c r="H2612" s="8"/>
    </row>
    <row r="2613" spans="6:8" x14ac:dyDescent="0.25">
      <c r="F2613" s="8"/>
      <c r="H2613" s="8"/>
    </row>
    <row r="2614" spans="6:8" x14ac:dyDescent="0.25">
      <c r="F2614" s="8"/>
      <c r="H2614" s="8"/>
    </row>
    <row r="2615" spans="6:8" x14ac:dyDescent="0.25">
      <c r="F2615" s="8"/>
      <c r="H2615" s="8"/>
    </row>
  </sheetData>
  <mergeCells count="34">
    <mergeCell ref="D421:E421"/>
    <mergeCell ref="J408:J411"/>
    <mergeCell ref="A415:B415"/>
    <mergeCell ref="D415:E415"/>
    <mergeCell ref="D416:E416"/>
    <mergeCell ref="D417:E417"/>
    <mergeCell ref="D418:E418"/>
    <mergeCell ref="A370:E370"/>
    <mergeCell ref="F370:G370"/>
    <mergeCell ref="H370:I370"/>
    <mergeCell ref="D419:E419"/>
    <mergeCell ref="D420:E420"/>
    <mergeCell ref="J386:J391"/>
    <mergeCell ref="J236:J249"/>
    <mergeCell ref="K260:L260"/>
    <mergeCell ref="J284:J291"/>
    <mergeCell ref="J297:J302"/>
    <mergeCell ref="J321:J322"/>
    <mergeCell ref="K328:L328"/>
    <mergeCell ref="A320:E320"/>
    <mergeCell ref="F320:G320"/>
    <mergeCell ref="H320:I320"/>
    <mergeCell ref="K82:L82"/>
    <mergeCell ref="L101:L102"/>
    <mergeCell ref="J116:J118"/>
    <mergeCell ref="K122:L122"/>
    <mergeCell ref="K149:L149"/>
    <mergeCell ref="K172:L172"/>
    <mergeCell ref="K13:L13"/>
    <mergeCell ref="A2:J2"/>
    <mergeCell ref="A4:E4"/>
    <mergeCell ref="F4:G4"/>
    <mergeCell ref="H4:I4"/>
    <mergeCell ref="J5:J6"/>
  </mergeCells>
  <hyperlinks>
    <hyperlink ref="J335" r:id="rId1" display="RM743.00@RM966.00/4 (4 marks/PD)_x000a_- Nos 3.d.i + 3.d.ii perlu sama dengan nos 3.c._x000a_- Tapak yang boleh diakses dengan kenderaan_x000a_- Juruukur perlu kemukakan laporan GPS kepada JKR sebelum bayaran dibuat"/>
  </hyperlinks>
  <pageMargins left="0.78740157480314965" right="0.70866141732283472" top="0.74803149606299213" bottom="0.74803149606299213" header="0.31496062992125984" footer="0.31496062992125984"/>
  <pageSetup paperSize="8" scale="62" fitToWidth="0" fitToHeight="0" orientation="portrait" r:id="rId2"/>
  <headerFooter alignWithMargins="0"/>
  <rowBreaks count="6" manualBreakCount="6">
    <brk id="74" max="9" man="1"/>
    <brk id="106" max="9" man="1"/>
    <brk id="164" max="9" man="1"/>
    <brk id="234" max="9" man="1"/>
    <brk id="319" max="9" man="1"/>
    <brk id="369" max="9"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pageSetUpPr fitToPage="1"/>
  </sheetPr>
  <dimension ref="A1:CP2540"/>
  <sheetViews>
    <sheetView view="pageBreakPreview" topLeftCell="B1" zoomScale="115" zoomScaleNormal="55" zoomScaleSheetLayoutView="115" zoomScalePageLayoutView="55" workbookViewId="0">
      <selection activeCell="C292" sqref="C292"/>
    </sheetView>
  </sheetViews>
  <sheetFormatPr defaultRowHeight="12.75" x14ac:dyDescent="0.25"/>
  <cols>
    <col min="1" max="1" width="14" style="12" bestFit="1" customWidth="1"/>
    <col min="2" max="2" width="45.7109375" style="8" customWidth="1"/>
    <col min="3" max="3" width="17.7109375" style="8" bestFit="1" customWidth="1"/>
    <col min="4" max="5" width="8.7109375" style="8" customWidth="1"/>
    <col min="6" max="6" width="12.7109375" style="2" customWidth="1"/>
    <col min="7" max="7" width="12.7109375" style="8" customWidth="1"/>
    <col min="8" max="9" width="12.7109375" style="8" hidden="1" customWidth="1"/>
    <col min="10" max="10" width="118.5703125" style="112" customWidth="1"/>
    <col min="11" max="11" width="44.28515625" style="8" customWidth="1"/>
    <col min="12" max="257" width="9.140625" style="8"/>
    <col min="258" max="258" width="5.85546875" style="8" customWidth="1"/>
    <col min="259" max="259" width="43" style="8" customWidth="1"/>
    <col min="260" max="260" width="13.85546875" style="8" customWidth="1"/>
    <col min="261" max="261" width="9.140625" style="8"/>
    <col min="262" max="262" width="8.5703125" style="8" customWidth="1"/>
    <col min="263" max="263" width="9" style="8" customWidth="1"/>
    <col min="264" max="264" width="10.5703125" style="8" customWidth="1"/>
    <col min="265" max="513" width="9.140625" style="8"/>
    <col min="514" max="514" width="5.85546875" style="8" customWidth="1"/>
    <col min="515" max="515" width="43" style="8" customWidth="1"/>
    <col min="516" max="516" width="13.85546875" style="8" customWidth="1"/>
    <col min="517" max="517" width="9.140625" style="8"/>
    <col min="518" max="518" width="8.5703125" style="8" customWidth="1"/>
    <col min="519" max="519" width="9" style="8" customWidth="1"/>
    <col min="520" max="520" width="10.5703125" style="8" customWidth="1"/>
    <col min="521" max="769" width="9.140625" style="8"/>
    <col min="770" max="770" width="5.85546875" style="8" customWidth="1"/>
    <col min="771" max="771" width="43" style="8" customWidth="1"/>
    <col min="772" max="772" width="13.85546875" style="8" customWidth="1"/>
    <col min="773" max="773" width="9.140625" style="8"/>
    <col min="774" max="774" width="8.5703125" style="8" customWidth="1"/>
    <col min="775" max="775" width="9" style="8" customWidth="1"/>
    <col min="776" max="776" width="10.5703125" style="8" customWidth="1"/>
    <col min="777" max="1025" width="9.140625" style="8"/>
    <col min="1026" max="1026" width="5.85546875" style="8" customWidth="1"/>
    <col min="1027" max="1027" width="43" style="8" customWidth="1"/>
    <col min="1028" max="1028" width="13.85546875" style="8" customWidth="1"/>
    <col min="1029" max="1029" width="9.140625" style="8"/>
    <col min="1030" max="1030" width="8.5703125" style="8" customWidth="1"/>
    <col min="1031" max="1031" width="9" style="8" customWidth="1"/>
    <col min="1032" max="1032" width="10.5703125" style="8" customWidth="1"/>
    <col min="1033" max="1281" width="9.140625" style="8"/>
    <col min="1282" max="1282" width="5.85546875" style="8" customWidth="1"/>
    <col min="1283" max="1283" width="43" style="8" customWidth="1"/>
    <col min="1284" max="1284" width="13.85546875" style="8" customWidth="1"/>
    <col min="1285" max="1285" width="9.140625" style="8"/>
    <col min="1286" max="1286" width="8.5703125" style="8" customWidth="1"/>
    <col min="1287" max="1287" width="9" style="8" customWidth="1"/>
    <col min="1288" max="1288" width="10.5703125" style="8" customWidth="1"/>
    <col min="1289" max="1537" width="9.140625" style="8"/>
    <col min="1538" max="1538" width="5.85546875" style="8" customWidth="1"/>
    <col min="1539" max="1539" width="43" style="8" customWidth="1"/>
    <col min="1540" max="1540" width="13.85546875" style="8" customWidth="1"/>
    <col min="1541" max="1541" width="9.140625" style="8"/>
    <col min="1542" max="1542" width="8.5703125" style="8" customWidth="1"/>
    <col min="1543" max="1543" width="9" style="8" customWidth="1"/>
    <col min="1544" max="1544" width="10.5703125" style="8" customWidth="1"/>
    <col min="1545" max="1793" width="9.140625" style="8"/>
    <col min="1794" max="1794" width="5.85546875" style="8" customWidth="1"/>
    <col min="1795" max="1795" width="43" style="8" customWidth="1"/>
    <col min="1796" max="1796" width="13.85546875" style="8" customWidth="1"/>
    <col min="1797" max="1797" width="9.140625" style="8"/>
    <col min="1798" max="1798" width="8.5703125" style="8" customWidth="1"/>
    <col min="1799" max="1799" width="9" style="8" customWidth="1"/>
    <col min="1800" max="1800" width="10.5703125" style="8" customWidth="1"/>
    <col min="1801" max="2049" width="9.140625" style="8"/>
    <col min="2050" max="2050" width="5.85546875" style="8" customWidth="1"/>
    <col min="2051" max="2051" width="43" style="8" customWidth="1"/>
    <col min="2052" max="2052" width="13.85546875" style="8" customWidth="1"/>
    <col min="2053" max="2053" width="9.140625" style="8"/>
    <col min="2054" max="2054" width="8.5703125" style="8" customWidth="1"/>
    <col min="2055" max="2055" width="9" style="8" customWidth="1"/>
    <col min="2056" max="2056" width="10.5703125" style="8" customWidth="1"/>
    <col min="2057" max="2305" width="9.140625" style="8"/>
    <col min="2306" max="2306" width="5.85546875" style="8" customWidth="1"/>
    <col min="2307" max="2307" width="43" style="8" customWidth="1"/>
    <col min="2308" max="2308" width="13.85546875" style="8" customWidth="1"/>
    <col min="2309" max="2309" width="9.140625" style="8"/>
    <col min="2310" max="2310" width="8.5703125" style="8" customWidth="1"/>
    <col min="2311" max="2311" width="9" style="8" customWidth="1"/>
    <col min="2312" max="2312" width="10.5703125" style="8" customWidth="1"/>
    <col min="2313" max="2561" width="9.140625" style="8"/>
    <col min="2562" max="2562" width="5.85546875" style="8" customWidth="1"/>
    <col min="2563" max="2563" width="43" style="8" customWidth="1"/>
    <col min="2564" max="2564" width="13.85546875" style="8" customWidth="1"/>
    <col min="2565" max="2565" width="9.140625" style="8"/>
    <col min="2566" max="2566" width="8.5703125" style="8" customWidth="1"/>
    <col min="2567" max="2567" width="9" style="8" customWidth="1"/>
    <col min="2568" max="2568" width="10.5703125" style="8" customWidth="1"/>
    <col min="2569" max="2817" width="9.140625" style="8"/>
    <col min="2818" max="2818" width="5.85546875" style="8" customWidth="1"/>
    <col min="2819" max="2819" width="43" style="8" customWidth="1"/>
    <col min="2820" max="2820" width="13.85546875" style="8" customWidth="1"/>
    <col min="2821" max="2821" width="9.140625" style="8"/>
    <col min="2822" max="2822" width="8.5703125" style="8" customWidth="1"/>
    <col min="2823" max="2823" width="9" style="8" customWidth="1"/>
    <col min="2824" max="2824" width="10.5703125" style="8" customWidth="1"/>
    <col min="2825" max="3073" width="9.140625" style="8"/>
    <col min="3074" max="3074" width="5.85546875" style="8" customWidth="1"/>
    <col min="3075" max="3075" width="43" style="8" customWidth="1"/>
    <col min="3076" max="3076" width="13.85546875" style="8" customWidth="1"/>
    <col min="3077" max="3077" width="9.140625" style="8"/>
    <col min="3078" max="3078" width="8.5703125" style="8" customWidth="1"/>
    <col min="3079" max="3079" width="9" style="8" customWidth="1"/>
    <col min="3080" max="3080" width="10.5703125" style="8" customWidth="1"/>
    <col min="3081" max="3329" width="9.140625" style="8"/>
    <col min="3330" max="3330" width="5.85546875" style="8" customWidth="1"/>
    <col min="3331" max="3331" width="43" style="8" customWidth="1"/>
    <col min="3332" max="3332" width="13.85546875" style="8" customWidth="1"/>
    <col min="3333" max="3333" width="9.140625" style="8"/>
    <col min="3334" max="3334" width="8.5703125" style="8" customWidth="1"/>
    <col min="3335" max="3335" width="9" style="8" customWidth="1"/>
    <col min="3336" max="3336" width="10.5703125" style="8" customWidth="1"/>
    <col min="3337" max="3585" width="9.140625" style="8"/>
    <col min="3586" max="3586" width="5.85546875" style="8" customWidth="1"/>
    <col min="3587" max="3587" width="43" style="8" customWidth="1"/>
    <col min="3588" max="3588" width="13.85546875" style="8" customWidth="1"/>
    <col min="3589" max="3589" width="9.140625" style="8"/>
    <col min="3590" max="3590" width="8.5703125" style="8" customWidth="1"/>
    <col min="3591" max="3591" width="9" style="8" customWidth="1"/>
    <col min="3592" max="3592" width="10.5703125" style="8" customWidth="1"/>
    <col min="3593" max="3841" width="9.140625" style="8"/>
    <col min="3842" max="3842" width="5.85546875" style="8" customWidth="1"/>
    <col min="3843" max="3843" width="43" style="8" customWidth="1"/>
    <col min="3844" max="3844" width="13.85546875" style="8" customWidth="1"/>
    <col min="3845" max="3845" width="9.140625" style="8"/>
    <col min="3846" max="3846" width="8.5703125" style="8" customWidth="1"/>
    <col min="3847" max="3847" width="9" style="8" customWidth="1"/>
    <col min="3848" max="3848" width="10.5703125" style="8" customWidth="1"/>
    <col min="3849" max="4097" width="9.140625" style="8"/>
    <col min="4098" max="4098" width="5.85546875" style="8" customWidth="1"/>
    <col min="4099" max="4099" width="43" style="8" customWidth="1"/>
    <col min="4100" max="4100" width="13.85546875" style="8" customWidth="1"/>
    <col min="4101" max="4101" width="9.140625" style="8"/>
    <col min="4102" max="4102" width="8.5703125" style="8" customWidth="1"/>
    <col min="4103" max="4103" width="9" style="8" customWidth="1"/>
    <col min="4104" max="4104" width="10.5703125" style="8" customWidth="1"/>
    <col min="4105" max="4353" width="9.140625" style="8"/>
    <col min="4354" max="4354" width="5.85546875" style="8" customWidth="1"/>
    <col min="4355" max="4355" width="43" style="8" customWidth="1"/>
    <col min="4356" max="4356" width="13.85546875" style="8" customWidth="1"/>
    <col min="4357" max="4357" width="9.140625" style="8"/>
    <col min="4358" max="4358" width="8.5703125" style="8" customWidth="1"/>
    <col min="4359" max="4359" width="9" style="8" customWidth="1"/>
    <col min="4360" max="4360" width="10.5703125" style="8" customWidth="1"/>
    <col min="4361" max="4609" width="9.140625" style="8"/>
    <col min="4610" max="4610" width="5.85546875" style="8" customWidth="1"/>
    <col min="4611" max="4611" width="43" style="8" customWidth="1"/>
    <col min="4612" max="4612" width="13.85546875" style="8" customWidth="1"/>
    <col min="4613" max="4613" width="9.140625" style="8"/>
    <col min="4614" max="4614" width="8.5703125" style="8" customWidth="1"/>
    <col min="4615" max="4615" width="9" style="8" customWidth="1"/>
    <col min="4616" max="4616" width="10.5703125" style="8" customWidth="1"/>
    <col min="4617" max="4865" width="9.140625" style="8"/>
    <col min="4866" max="4866" width="5.85546875" style="8" customWidth="1"/>
    <col min="4867" max="4867" width="43" style="8" customWidth="1"/>
    <col min="4868" max="4868" width="13.85546875" style="8" customWidth="1"/>
    <col min="4869" max="4869" width="9.140625" style="8"/>
    <col min="4870" max="4870" width="8.5703125" style="8" customWidth="1"/>
    <col min="4871" max="4871" width="9" style="8" customWidth="1"/>
    <col min="4872" max="4872" width="10.5703125" style="8" customWidth="1"/>
    <col min="4873" max="5121" width="9.140625" style="8"/>
    <col min="5122" max="5122" width="5.85546875" style="8" customWidth="1"/>
    <col min="5123" max="5123" width="43" style="8" customWidth="1"/>
    <col min="5124" max="5124" width="13.85546875" style="8" customWidth="1"/>
    <col min="5125" max="5125" width="9.140625" style="8"/>
    <col min="5126" max="5126" width="8.5703125" style="8" customWidth="1"/>
    <col min="5127" max="5127" width="9" style="8" customWidth="1"/>
    <col min="5128" max="5128" width="10.5703125" style="8" customWidth="1"/>
    <col min="5129" max="5377" width="9.140625" style="8"/>
    <col min="5378" max="5378" width="5.85546875" style="8" customWidth="1"/>
    <col min="5379" max="5379" width="43" style="8" customWidth="1"/>
    <col min="5380" max="5380" width="13.85546875" style="8" customWidth="1"/>
    <col min="5381" max="5381" width="9.140625" style="8"/>
    <col min="5382" max="5382" width="8.5703125" style="8" customWidth="1"/>
    <col min="5383" max="5383" width="9" style="8" customWidth="1"/>
    <col min="5384" max="5384" width="10.5703125" style="8" customWidth="1"/>
    <col min="5385" max="5633" width="9.140625" style="8"/>
    <col min="5634" max="5634" width="5.85546875" style="8" customWidth="1"/>
    <col min="5635" max="5635" width="43" style="8" customWidth="1"/>
    <col min="5636" max="5636" width="13.85546875" style="8" customWidth="1"/>
    <col min="5637" max="5637" width="9.140625" style="8"/>
    <col min="5638" max="5638" width="8.5703125" style="8" customWidth="1"/>
    <col min="5639" max="5639" width="9" style="8" customWidth="1"/>
    <col min="5640" max="5640" width="10.5703125" style="8" customWidth="1"/>
    <col min="5641" max="5889" width="9.140625" style="8"/>
    <col min="5890" max="5890" width="5.85546875" style="8" customWidth="1"/>
    <col min="5891" max="5891" width="43" style="8" customWidth="1"/>
    <col min="5892" max="5892" width="13.85546875" style="8" customWidth="1"/>
    <col min="5893" max="5893" width="9.140625" style="8"/>
    <col min="5894" max="5894" width="8.5703125" style="8" customWidth="1"/>
    <col min="5895" max="5895" width="9" style="8" customWidth="1"/>
    <col min="5896" max="5896" width="10.5703125" style="8" customWidth="1"/>
    <col min="5897" max="6145" width="9.140625" style="8"/>
    <col min="6146" max="6146" width="5.85546875" style="8" customWidth="1"/>
    <col min="6147" max="6147" width="43" style="8" customWidth="1"/>
    <col min="6148" max="6148" width="13.85546875" style="8" customWidth="1"/>
    <col min="6149" max="6149" width="9.140625" style="8"/>
    <col min="6150" max="6150" width="8.5703125" style="8" customWidth="1"/>
    <col min="6151" max="6151" width="9" style="8" customWidth="1"/>
    <col min="6152" max="6152" width="10.5703125" style="8" customWidth="1"/>
    <col min="6153" max="6401" width="9.140625" style="8"/>
    <col min="6402" max="6402" width="5.85546875" style="8" customWidth="1"/>
    <col min="6403" max="6403" width="43" style="8" customWidth="1"/>
    <col min="6404" max="6404" width="13.85546875" style="8" customWidth="1"/>
    <col min="6405" max="6405" width="9.140625" style="8"/>
    <col min="6406" max="6406" width="8.5703125" style="8" customWidth="1"/>
    <col min="6407" max="6407" width="9" style="8" customWidth="1"/>
    <col min="6408" max="6408" width="10.5703125" style="8" customWidth="1"/>
    <col min="6409" max="6657" width="9.140625" style="8"/>
    <col min="6658" max="6658" width="5.85546875" style="8" customWidth="1"/>
    <col min="6659" max="6659" width="43" style="8" customWidth="1"/>
    <col min="6660" max="6660" width="13.85546875" style="8" customWidth="1"/>
    <col min="6661" max="6661" width="9.140625" style="8"/>
    <col min="6662" max="6662" width="8.5703125" style="8" customWidth="1"/>
    <col min="6663" max="6663" width="9" style="8" customWidth="1"/>
    <col min="6664" max="6664" width="10.5703125" style="8" customWidth="1"/>
    <col min="6665" max="6913" width="9.140625" style="8"/>
    <col min="6914" max="6914" width="5.85546875" style="8" customWidth="1"/>
    <col min="6915" max="6915" width="43" style="8" customWidth="1"/>
    <col min="6916" max="6916" width="13.85546875" style="8" customWidth="1"/>
    <col min="6917" max="6917" width="9.140625" style="8"/>
    <col min="6918" max="6918" width="8.5703125" style="8" customWidth="1"/>
    <col min="6919" max="6919" width="9" style="8" customWidth="1"/>
    <col min="6920" max="6920" width="10.5703125" style="8" customWidth="1"/>
    <col min="6921" max="7169" width="9.140625" style="8"/>
    <col min="7170" max="7170" width="5.85546875" style="8" customWidth="1"/>
    <col min="7171" max="7171" width="43" style="8" customWidth="1"/>
    <col min="7172" max="7172" width="13.85546875" style="8" customWidth="1"/>
    <col min="7173" max="7173" width="9.140625" style="8"/>
    <col min="7174" max="7174" width="8.5703125" style="8" customWidth="1"/>
    <col min="7175" max="7175" width="9" style="8" customWidth="1"/>
    <col min="7176" max="7176" width="10.5703125" style="8" customWidth="1"/>
    <col min="7177" max="7425" width="9.140625" style="8"/>
    <col min="7426" max="7426" width="5.85546875" style="8" customWidth="1"/>
    <col min="7427" max="7427" width="43" style="8" customWidth="1"/>
    <col min="7428" max="7428" width="13.85546875" style="8" customWidth="1"/>
    <col min="7429" max="7429" width="9.140625" style="8"/>
    <col min="7430" max="7430" width="8.5703125" style="8" customWidth="1"/>
    <col min="7431" max="7431" width="9" style="8" customWidth="1"/>
    <col min="7432" max="7432" width="10.5703125" style="8" customWidth="1"/>
    <col min="7433" max="7681" width="9.140625" style="8"/>
    <col min="7682" max="7682" width="5.85546875" style="8" customWidth="1"/>
    <col min="7683" max="7683" width="43" style="8" customWidth="1"/>
    <col min="7684" max="7684" width="13.85546875" style="8" customWidth="1"/>
    <col min="7685" max="7685" width="9.140625" style="8"/>
    <col min="7686" max="7686" width="8.5703125" style="8" customWidth="1"/>
    <col min="7687" max="7687" width="9" style="8" customWidth="1"/>
    <col min="7688" max="7688" width="10.5703125" style="8" customWidth="1"/>
    <col min="7689" max="7937" width="9.140625" style="8"/>
    <col min="7938" max="7938" width="5.85546875" style="8" customWidth="1"/>
    <col min="7939" max="7939" width="43" style="8" customWidth="1"/>
    <col min="7940" max="7940" width="13.85546875" style="8" customWidth="1"/>
    <col min="7941" max="7941" width="9.140625" style="8"/>
    <col min="7942" max="7942" width="8.5703125" style="8" customWidth="1"/>
    <col min="7943" max="7943" width="9" style="8" customWidth="1"/>
    <col min="7944" max="7944" width="10.5703125" style="8" customWidth="1"/>
    <col min="7945" max="8193" width="9.140625" style="8"/>
    <col min="8194" max="8194" width="5.85546875" style="8" customWidth="1"/>
    <col min="8195" max="8195" width="43" style="8" customWidth="1"/>
    <col min="8196" max="8196" width="13.85546875" style="8" customWidth="1"/>
    <col min="8197" max="8197" width="9.140625" style="8"/>
    <col min="8198" max="8198" width="8.5703125" style="8" customWidth="1"/>
    <col min="8199" max="8199" width="9" style="8" customWidth="1"/>
    <col min="8200" max="8200" width="10.5703125" style="8" customWidth="1"/>
    <col min="8201" max="8449" width="9.140625" style="8"/>
    <col min="8450" max="8450" width="5.85546875" style="8" customWidth="1"/>
    <col min="8451" max="8451" width="43" style="8" customWidth="1"/>
    <col min="8452" max="8452" width="13.85546875" style="8" customWidth="1"/>
    <col min="8453" max="8453" width="9.140625" style="8"/>
    <col min="8454" max="8454" width="8.5703125" style="8" customWidth="1"/>
    <col min="8455" max="8455" width="9" style="8" customWidth="1"/>
    <col min="8456" max="8456" width="10.5703125" style="8" customWidth="1"/>
    <col min="8457" max="8705" width="9.140625" style="8"/>
    <col min="8706" max="8706" width="5.85546875" style="8" customWidth="1"/>
    <col min="8707" max="8707" width="43" style="8" customWidth="1"/>
    <col min="8708" max="8708" width="13.85546875" style="8" customWidth="1"/>
    <col min="8709" max="8709" width="9.140625" style="8"/>
    <col min="8710" max="8710" width="8.5703125" style="8" customWidth="1"/>
    <col min="8711" max="8711" width="9" style="8" customWidth="1"/>
    <col min="8712" max="8712" width="10.5703125" style="8" customWidth="1"/>
    <col min="8713" max="8961" width="9.140625" style="8"/>
    <col min="8962" max="8962" width="5.85546875" style="8" customWidth="1"/>
    <col min="8963" max="8963" width="43" style="8" customWidth="1"/>
    <col min="8964" max="8964" width="13.85546875" style="8" customWidth="1"/>
    <col min="8965" max="8965" width="9.140625" style="8"/>
    <col min="8966" max="8966" width="8.5703125" style="8" customWidth="1"/>
    <col min="8967" max="8967" width="9" style="8" customWidth="1"/>
    <col min="8968" max="8968" width="10.5703125" style="8" customWidth="1"/>
    <col min="8969" max="9217" width="9.140625" style="8"/>
    <col min="9218" max="9218" width="5.85546875" style="8" customWidth="1"/>
    <col min="9219" max="9219" width="43" style="8" customWidth="1"/>
    <col min="9220" max="9220" width="13.85546875" style="8" customWidth="1"/>
    <col min="9221" max="9221" width="9.140625" style="8"/>
    <col min="9222" max="9222" width="8.5703125" style="8" customWidth="1"/>
    <col min="9223" max="9223" width="9" style="8" customWidth="1"/>
    <col min="9224" max="9224" width="10.5703125" style="8" customWidth="1"/>
    <col min="9225" max="9473" width="9.140625" style="8"/>
    <col min="9474" max="9474" width="5.85546875" style="8" customWidth="1"/>
    <col min="9475" max="9475" width="43" style="8" customWidth="1"/>
    <col min="9476" max="9476" width="13.85546875" style="8" customWidth="1"/>
    <col min="9477" max="9477" width="9.140625" style="8"/>
    <col min="9478" max="9478" width="8.5703125" style="8" customWidth="1"/>
    <col min="9479" max="9479" width="9" style="8" customWidth="1"/>
    <col min="9480" max="9480" width="10.5703125" style="8" customWidth="1"/>
    <col min="9481" max="9729" width="9.140625" style="8"/>
    <col min="9730" max="9730" width="5.85546875" style="8" customWidth="1"/>
    <col min="9731" max="9731" width="43" style="8" customWidth="1"/>
    <col min="9732" max="9732" width="13.85546875" style="8" customWidth="1"/>
    <col min="9733" max="9733" width="9.140625" style="8"/>
    <col min="9734" max="9734" width="8.5703125" style="8" customWidth="1"/>
    <col min="9735" max="9735" width="9" style="8" customWidth="1"/>
    <col min="9736" max="9736" width="10.5703125" style="8" customWidth="1"/>
    <col min="9737" max="9985" width="9.140625" style="8"/>
    <col min="9986" max="9986" width="5.85546875" style="8" customWidth="1"/>
    <col min="9987" max="9987" width="43" style="8" customWidth="1"/>
    <col min="9988" max="9988" width="13.85546875" style="8" customWidth="1"/>
    <col min="9989" max="9989" width="9.140625" style="8"/>
    <col min="9990" max="9990" width="8.5703125" style="8" customWidth="1"/>
    <col min="9991" max="9991" width="9" style="8" customWidth="1"/>
    <col min="9992" max="9992" width="10.5703125" style="8" customWidth="1"/>
    <col min="9993" max="10241" width="9.140625" style="8"/>
    <col min="10242" max="10242" width="5.85546875" style="8" customWidth="1"/>
    <col min="10243" max="10243" width="43" style="8" customWidth="1"/>
    <col min="10244" max="10244" width="13.85546875" style="8" customWidth="1"/>
    <col min="10245" max="10245" width="9.140625" style="8"/>
    <col min="10246" max="10246" width="8.5703125" style="8" customWidth="1"/>
    <col min="10247" max="10247" width="9" style="8" customWidth="1"/>
    <col min="10248" max="10248" width="10.5703125" style="8" customWidth="1"/>
    <col min="10249" max="10497" width="9.140625" style="8"/>
    <col min="10498" max="10498" width="5.85546875" style="8" customWidth="1"/>
    <col min="10499" max="10499" width="43" style="8" customWidth="1"/>
    <col min="10500" max="10500" width="13.85546875" style="8" customWidth="1"/>
    <col min="10501" max="10501" width="9.140625" style="8"/>
    <col min="10502" max="10502" width="8.5703125" style="8" customWidth="1"/>
    <col min="10503" max="10503" width="9" style="8" customWidth="1"/>
    <col min="10504" max="10504" width="10.5703125" style="8" customWidth="1"/>
    <col min="10505" max="10753" width="9.140625" style="8"/>
    <col min="10754" max="10754" width="5.85546875" style="8" customWidth="1"/>
    <col min="10755" max="10755" width="43" style="8" customWidth="1"/>
    <col min="10756" max="10756" width="13.85546875" style="8" customWidth="1"/>
    <col min="10757" max="10757" width="9.140625" style="8"/>
    <col min="10758" max="10758" width="8.5703125" style="8" customWidth="1"/>
    <col min="10759" max="10759" width="9" style="8" customWidth="1"/>
    <col min="10760" max="10760" width="10.5703125" style="8" customWidth="1"/>
    <col min="10761" max="11009" width="9.140625" style="8"/>
    <col min="11010" max="11010" width="5.85546875" style="8" customWidth="1"/>
    <col min="11011" max="11011" width="43" style="8" customWidth="1"/>
    <col min="11012" max="11012" width="13.85546875" style="8" customWidth="1"/>
    <col min="11013" max="11013" width="9.140625" style="8"/>
    <col min="11014" max="11014" width="8.5703125" style="8" customWidth="1"/>
    <col min="11015" max="11015" width="9" style="8" customWidth="1"/>
    <col min="11016" max="11016" width="10.5703125" style="8" customWidth="1"/>
    <col min="11017" max="11265" width="9.140625" style="8"/>
    <col min="11266" max="11266" width="5.85546875" style="8" customWidth="1"/>
    <col min="11267" max="11267" width="43" style="8" customWidth="1"/>
    <col min="11268" max="11268" width="13.85546875" style="8" customWidth="1"/>
    <col min="11269" max="11269" width="9.140625" style="8"/>
    <col min="11270" max="11270" width="8.5703125" style="8" customWidth="1"/>
    <col min="11271" max="11271" width="9" style="8" customWidth="1"/>
    <col min="11272" max="11272" width="10.5703125" style="8" customWidth="1"/>
    <col min="11273" max="11521" width="9.140625" style="8"/>
    <col min="11522" max="11522" width="5.85546875" style="8" customWidth="1"/>
    <col min="11523" max="11523" width="43" style="8" customWidth="1"/>
    <col min="11524" max="11524" width="13.85546875" style="8" customWidth="1"/>
    <col min="11525" max="11525" width="9.140625" style="8"/>
    <col min="11526" max="11526" width="8.5703125" style="8" customWidth="1"/>
    <col min="11527" max="11527" width="9" style="8" customWidth="1"/>
    <col min="11528" max="11528" width="10.5703125" style="8" customWidth="1"/>
    <col min="11529" max="11777" width="9.140625" style="8"/>
    <col min="11778" max="11778" width="5.85546875" style="8" customWidth="1"/>
    <col min="11779" max="11779" width="43" style="8" customWidth="1"/>
    <col min="11780" max="11780" width="13.85546875" style="8" customWidth="1"/>
    <col min="11781" max="11781" width="9.140625" style="8"/>
    <col min="11782" max="11782" width="8.5703125" style="8" customWidth="1"/>
    <col min="11783" max="11783" width="9" style="8" customWidth="1"/>
    <col min="11784" max="11784" width="10.5703125" style="8" customWidth="1"/>
    <col min="11785" max="12033" width="9.140625" style="8"/>
    <col min="12034" max="12034" width="5.85546875" style="8" customWidth="1"/>
    <col min="12035" max="12035" width="43" style="8" customWidth="1"/>
    <col min="12036" max="12036" width="13.85546875" style="8" customWidth="1"/>
    <col min="12037" max="12037" width="9.140625" style="8"/>
    <col min="12038" max="12038" width="8.5703125" style="8" customWidth="1"/>
    <col min="12039" max="12039" width="9" style="8" customWidth="1"/>
    <col min="12040" max="12040" width="10.5703125" style="8" customWidth="1"/>
    <col min="12041" max="12289" width="9.140625" style="8"/>
    <col min="12290" max="12290" width="5.85546875" style="8" customWidth="1"/>
    <col min="12291" max="12291" width="43" style="8" customWidth="1"/>
    <col min="12292" max="12292" width="13.85546875" style="8" customWidth="1"/>
    <col min="12293" max="12293" width="9.140625" style="8"/>
    <col min="12294" max="12294" width="8.5703125" style="8" customWidth="1"/>
    <col min="12295" max="12295" width="9" style="8" customWidth="1"/>
    <col min="12296" max="12296" width="10.5703125" style="8" customWidth="1"/>
    <col min="12297" max="12545" width="9.140625" style="8"/>
    <col min="12546" max="12546" width="5.85546875" style="8" customWidth="1"/>
    <col min="12547" max="12547" width="43" style="8" customWidth="1"/>
    <col min="12548" max="12548" width="13.85546875" style="8" customWidth="1"/>
    <col min="12549" max="12549" width="9.140625" style="8"/>
    <col min="12550" max="12550" width="8.5703125" style="8" customWidth="1"/>
    <col min="12551" max="12551" width="9" style="8" customWidth="1"/>
    <col min="12552" max="12552" width="10.5703125" style="8" customWidth="1"/>
    <col min="12553" max="12801" width="9.140625" style="8"/>
    <col min="12802" max="12802" width="5.85546875" style="8" customWidth="1"/>
    <col min="12803" max="12803" width="43" style="8" customWidth="1"/>
    <col min="12804" max="12804" width="13.85546875" style="8" customWidth="1"/>
    <col min="12805" max="12805" width="9.140625" style="8"/>
    <col min="12806" max="12806" width="8.5703125" style="8" customWidth="1"/>
    <col min="12807" max="12807" width="9" style="8" customWidth="1"/>
    <col min="12808" max="12808" width="10.5703125" style="8" customWidth="1"/>
    <col min="12809" max="13057" width="9.140625" style="8"/>
    <col min="13058" max="13058" width="5.85546875" style="8" customWidth="1"/>
    <col min="13059" max="13059" width="43" style="8" customWidth="1"/>
    <col min="13060" max="13060" width="13.85546875" style="8" customWidth="1"/>
    <col min="13061" max="13061" width="9.140625" style="8"/>
    <col min="13062" max="13062" width="8.5703125" style="8" customWidth="1"/>
    <col min="13063" max="13063" width="9" style="8" customWidth="1"/>
    <col min="13064" max="13064" width="10.5703125" style="8" customWidth="1"/>
    <col min="13065" max="13313" width="9.140625" style="8"/>
    <col min="13314" max="13314" width="5.85546875" style="8" customWidth="1"/>
    <col min="13315" max="13315" width="43" style="8" customWidth="1"/>
    <col min="13316" max="13316" width="13.85546875" style="8" customWidth="1"/>
    <col min="13317" max="13317" width="9.140625" style="8"/>
    <col min="13318" max="13318" width="8.5703125" style="8" customWidth="1"/>
    <col min="13319" max="13319" width="9" style="8" customWidth="1"/>
    <col min="13320" max="13320" width="10.5703125" style="8" customWidth="1"/>
    <col min="13321" max="13569" width="9.140625" style="8"/>
    <col min="13570" max="13570" width="5.85546875" style="8" customWidth="1"/>
    <col min="13571" max="13571" width="43" style="8" customWidth="1"/>
    <col min="13572" max="13572" width="13.85546875" style="8" customWidth="1"/>
    <col min="13573" max="13573" width="9.140625" style="8"/>
    <col min="13574" max="13574" width="8.5703125" style="8" customWidth="1"/>
    <col min="13575" max="13575" width="9" style="8" customWidth="1"/>
    <col min="13576" max="13576" width="10.5703125" style="8" customWidth="1"/>
    <col min="13577" max="13825" width="9.140625" style="8"/>
    <col min="13826" max="13826" width="5.85546875" style="8" customWidth="1"/>
    <col min="13827" max="13827" width="43" style="8" customWidth="1"/>
    <col min="13828" max="13828" width="13.85546875" style="8" customWidth="1"/>
    <col min="13829" max="13829" width="9.140625" style="8"/>
    <col min="13830" max="13830" width="8.5703125" style="8" customWidth="1"/>
    <col min="13831" max="13831" width="9" style="8" customWidth="1"/>
    <col min="13832" max="13832" width="10.5703125" style="8" customWidth="1"/>
    <col min="13833" max="14081" width="9.140625" style="8"/>
    <col min="14082" max="14082" width="5.85546875" style="8" customWidth="1"/>
    <col min="14083" max="14083" width="43" style="8" customWidth="1"/>
    <col min="14084" max="14084" width="13.85546875" style="8" customWidth="1"/>
    <col min="14085" max="14085" width="9.140625" style="8"/>
    <col min="14086" max="14086" width="8.5703125" style="8" customWidth="1"/>
    <col min="14087" max="14087" width="9" style="8" customWidth="1"/>
    <col min="14088" max="14088" width="10.5703125" style="8" customWidth="1"/>
    <col min="14089" max="14337" width="9.140625" style="8"/>
    <col min="14338" max="14338" width="5.85546875" style="8" customWidth="1"/>
    <col min="14339" max="14339" width="43" style="8" customWidth="1"/>
    <col min="14340" max="14340" width="13.85546875" style="8" customWidth="1"/>
    <col min="14341" max="14341" width="9.140625" style="8"/>
    <col min="14342" max="14342" width="8.5703125" style="8" customWidth="1"/>
    <col min="14343" max="14343" width="9" style="8" customWidth="1"/>
    <col min="14344" max="14344" width="10.5703125" style="8" customWidth="1"/>
    <col min="14345" max="14593" width="9.140625" style="8"/>
    <col min="14594" max="14594" width="5.85546875" style="8" customWidth="1"/>
    <col min="14595" max="14595" width="43" style="8" customWidth="1"/>
    <col min="14596" max="14596" width="13.85546875" style="8" customWidth="1"/>
    <col min="14597" max="14597" width="9.140625" style="8"/>
    <col min="14598" max="14598" width="8.5703125" style="8" customWidth="1"/>
    <col min="14599" max="14599" width="9" style="8" customWidth="1"/>
    <col min="14600" max="14600" width="10.5703125" style="8" customWidth="1"/>
    <col min="14601" max="14849" width="9.140625" style="8"/>
    <col min="14850" max="14850" width="5.85546875" style="8" customWidth="1"/>
    <col min="14851" max="14851" width="43" style="8" customWidth="1"/>
    <col min="14852" max="14852" width="13.85546875" style="8" customWidth="1"/>
    <col min="14853" max="14853" width="9.140625" style="8"/>
    <col min="14854" max="14854" width="8.5703125" style="8" customWidth="1"/>
    <col min="14855" max="14855" width="9" style="8" customWidth="1"/>
    <col min="14856" max="14856" width="10.5703125" style="8" customWidth="1"/>
    <col min="14857" max="15105" width="9.140625" style="8"/>
    <col min="15106" max="15106" width="5.85546875" style="8" customWidth="1"/>
    <col min="15107" max="15107" width="43" style="8" customWidth="1"/>
    <col min="15108" max="15108" width="13.85546875" style="8" customWidth="1"/>
    <col min="15109" max="15109" width="9.140625" style="8"/>
    <col min="15110" max="15110" width="8.5703125" style="8" customWidth="1"/>
    <col min="15111" max="15111" width="9" style="8" customWidth="1"/>
    <col min="15112" max="15112" width="10.5703125" style="8" customWidth="1"/>
    <col min="15113" max="15361" width="9.140625" style="8"/>
    <col min="15362" max="15362" width="5.85546875" style="8" customWidth="1"/>
    <col min="15363" max="15363" width="43" style="8" customWidth="1"/>
    <col min="15364" max="15364" width="13.85546875" style="8" customWidth="1"/>
    <col min="15365" max="15365" width="9.140625" style="8"/>
    <col min="15366" max="15366" width="8.5703125" style="8" customWidth="1"/>
    <col min="15367" max="15367" width="9" style="8" customWidth="1"/>
    <col min="15368" max="15368" width="10.5703125" style="8" customWidth="1"/>
    <col min="15369" max="15617" width="9.140625" style="8"/>
    <col min="15618" max="15618" width="5.85546875" style="8" customWidth="1"/>
    <col min="15619" max="15619" width="43" style="8" customWidth="1"/>
    <col min="15620" max="15620" width="13.85546875" style="8" customWidth="1"/>
    <col min="15621" max="15621" width="9.140625" style="8"/>
    <col min="15622" max="15622" width="8.5703125" style="8" customWidth="1"/>
    <col min="15623" max="15623" width="9" style="8" customWidth="1"/>
    <col min="15624" max="15624" width="10.5703125" style="8" customWidth="1"/>
    <col min="15625" max="15873" width="9.140625" style="8"/>
    <col min="15874" max="15874" width="5.85546875" style="8" customWidth="1"/>
    <col min="15875" max="15875" width="43" style="8" customWidth="1"/>
    <col min="15876" max="15876" width="13.85546875" style="8" customWidth="1"/>
    <col min="15877" max="15877" width="9.140625" style="8"/>
    <col min="15878" max="15878" width="8.5703125" style="8" customWidth="1"/>
    <col min="15879" max="15879" width="9" style="8" customWidth="1"/>
    <col min="15880" max="15880" width="10.5703125" style="8" customWidth="1"/>
    <col min="15881" max="16129" width="9.140625" style="8"/>
    <col min="16130" max="16130" width="5.85546875" style="8" customWidth="1"/>
    <col min="16131" max="16131" width="43" style="8" customWidth="1"/>
    <col min="16132" max="16132" width="13.85546875" style="8" customWidth="1"/>
    <col min="16133" max="16133" width="9.140625" style="8"/>
    <col min="16134" max="16134" width="8.5703125" style="8" customWidth="1"/>
    <col min="16135" max="16135" width="9" style="8" customWidth="1"/>
    <col min="16136" max="16136" width="10.5703125" style="8" customWidth="1"/>
    <col min="16137" max="16384" width="9.140625" style="8"/>
  </cols>
  <sheetData>
    <row r="1" spans="1:94" x14ac:dyDescent="0.25">
      <c r="A1" s="29"/>
      <c r="B1" s="29"/>
      <c r="C1" s="29"/>
      <c r="D1" s="29"/>
      <c r="E1" s="29"/>
      <c r="F1" s="29"/>
      <c r="G1" s="29"/>
      <c r="H1" s="29"/>
      <c r="I1" s="29"/>
      <c r="J1" s="96"/>
    </row>
    <row r="2" spans="1:94" ht="15.75" x14ac:dyDescent="0.25">
      <c r="A2" s="493" t="s">
        <v>77</v>
      </c>
      <c r="B2" s="493"/>
      <c r="C2" s="493"/>
      <c r="D2" s="493"/>
      <c r="E2" s="493"/>
      <c r="F2" s="493"/>
      <c r="G2" s="493"/>
      <c r="H2" s="459"/>
      <c r="I2" s="459"/>
      <c r="J2" s="460"/>
    </row>
    <row r="3" spans="1:94" ht="15.75" x14ac:dyDescent="0.25">
      <c r="A3" s="454"/>
      <c r="B3" s="454"/>
      <c r="C3" s="454"/>
      <c r="D3" s="454"/>
      <c r="E3" s="454"/>
      <c r="F3" s="454"/>
      <c r="G3" s="454"/>
      <c r="H3" s="454"/>
      <c r="I3" s="454"/>
      <c r="J3" s="460"/>
    </row>
    <row r="4" spans="1:94" ht="15.75" x14ac:dyDescent="0.25">
      <c r="A4" s="371" t="s">
        <v>400</v>
      </c>
      <c r="B4" s="494" t="s">
        <v>602</v>
      </c>
      <c r="C4" s="494"/>
      <c r="D4" s="494"/>
      <c r="E4" s="494"/>
      <c r="F4" s="494"/>
      <c r="G4" s="494"/>
      <c r="H4" s="494"/>
      <c r="I4" s="494"/>
      <c r="J4" s="494"/>
    </row>
    <row r="5" spans="1:94" ht="15.75" x14ac:dyDescent="0.25">
      <c r="A5" s="460" t="s">
        <v>401</v>
      </c>
      <c r="B5" s="495" t="s">
        <v>567</v>
      </c>
      <c r="C5" s="495"/>
      <c r="D5" s="495"/>
      <c r="E5" s="495"/>
      <c r="F5" s="495"/>
      <c r="G5" s="495"/>
      <c r="H5" s="461"/>
      <c r="I5" s="461"/>
      <c r="J5" s="460"/>
    </row>
    <row r="6" spans="1:94" x14ac:dyDescent="0.25">
      <c r="F6" s="8"/>
      <c r="G6" s="18"/>
      <c r="H6" s="18"/>
      <c r="I6" s="18"/>
      <c r="J6" s="97"/>
    </row>
    <row r="7" spans="1:94" x14ac:dyDescent="0.25">
      <c r="A7" s="467" t="s">
        <v>0</v>
      </c>
      <c r="B7" s="468"/>
      <c r="C7" s="468"/>
      <c r="D7" s="468"/>
      <c r="E7" s="483"/>
      <c r="F7" s="469" t="s">
        <v>180</v>
      </c>
      <c r="G7" s="469"/>
      <c r="H7" s="496" t="s">
        <v>544</v>
      </c>
      <c r="I7" s="497"/>
      <c r="J7" s="98" t="s">
        <v>528</v>
      </c>
    </row>
    <row r="8" spans="1:94" x14ac:dyDescent="0.25">
      <c r="A8" s="457" t="s">
        <v>1</v>
      </c>
      <c r="B8" s="148" t="s">
        <v>2</v>
      </c>
      <c r="C8" s="41" t="s">
        <v>3</v>
      </c>
      <c r="D8" s="9" t="s">
        <v>4</v>
      </c>
      <c r="E8" s="41" t="s">
        <v>5</v>
      </c>
      <c r="F8" s="457" t="s">
        <v>6</v>
      </c>
      <c r="G8" s="19" t="s">
        <v>7</v>
      </c>
      <c r="H8" s="457" t="s">
        <v>6</v>
      </c>
      <c r="I8" s="19" t="s">
        <v>7</v>
      </c>
      <c r="J8" s="498"/>
    </row>
    <row r="9" spans="1:94" x14ac:dyDescent="0.25">
      <c r="A9" s="458" t="s">
        <v>8</v>
      </c>
      <c r="B9" s="20"/>
      <c r="C9" s="85"/>
      <c r="D9" s="458"/>
      <c r="E9" s="85"/>
      <c r="F9" s="458" t="s">
        <v>10</v>
      </c>
      <c r="G9" s="20" t="s">
        <v>10</v>
      </c>
      <c r="H9" s="458" t="s">
        <v>10</v>
      </c>
      <c r="I9" s="20" t="s">
        <v>10</v>
      </c>
      <c r="J9" s="499"/>
    </row>
    <row r="10" spans="1:94" s="28" customFormat="1" ht="25.5" x14ac:dyDescent="0.25">
      <c r="A10" s="9">
        <v>1</v>
      </c>
      <c r="B10" s="35" t="s">
        <v>11</v>
      </c>
      <c r="C10" s="317" t="s">
        <v>507</v>
      </c>
      <c r="D10" s="22"/>
      <c r="E10" s="114" t="s">
        <v>12</v>
      </c>
      <c r="F10" s="25">
        <v>743</v>
      </c>
      <c r="G10" s="315">
        <f>ROUND(D10*F10,2)</f>
        <v>0</v>
      </c>
      <c r="H10" s="315">
        <v>966</v>
      </c>
      <c r="I10" s="115">
        <f>D10*H10</f>
        <v>0</v>
      </c>
      <c r="J10" s="445" t="s">
        <v>545</v>
      </c>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row>
    <row r="11" spans="1:94" s="27" customFormat="1" ht="63.75" x14ac:dyDescent="0.25">
      <c r="A11" s="9"/>
      <c r="B11" s="42" t="s">
        <v>510</v>
      </c>
      <c r="C11" s="61" t="s">
        <v>508</v>
      </c>
      <c r="D11" s="43"/>
      <c r="E11" s="61"/>
      <c r="F11" s="44"/>
      <c r="G11" s="332"/>
      <c r="H11" s="44"/>
      <c r="I11" s="332"/>
      <c r="J11" s="99" t="s">
        <v>503</v>
      </c>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row>
    <row r="12" spans="1:94" x14ac:dyDescent="0.25">
      <c r="A12" s="9"/>
      <c r="B12" s="45" t="s">
        <v>14</v>
      </c>
      <c r="C12" s="64">
        <v>1.3</v>
      </c>
      <c r="D12" s="46"/>
      <c r="E12" s="64" t="s">
        <v>12</v>
      </c>
      <c r="F12" s="47">
        <f>$F$10</f>
        <v>743</v>
      </c>
      <c r="G12" s="330">
        <f>ROUND(D12*F12,2)</f>
        <v>0</v>
      </c>
      <c r="H12" s="47">
        <f>$H$10</f>
        <v>966</v>
      </c>
      <c r="I12" s="330">
        <f>D12*H12</f>
        <v>0</v>
      </c>
      <c r="J12" s="100"/>
    </row>
    <row r="13" spans="1:94" x14ac:dyDescent="0.25">
      <c r="A13" s="9"/>
      <c r="B13" s="45" t="s">
        <v>35</v>
      </c>
      <c r="C13" s="64">
        <v>1.3</v>
      </c>
      <c r="D13" s="46"/>
      <c r="E13" s="64" t="s">
        <v>12</v>
      </c>
      <c r="F13" s="47">
        <f>$F$10*2</f>
        <v>1486</v>
      </c>
      <c r="G13" s="330">
        <f>ROUND(D13*F13,2)</f>
        <v>0</v>
      </c>
      <c r="H13" s="47">
        <f>$H$10*2</f>
        <v>1932</v>
      </c>
      <c r="I13" s="330">
        <f>D13*H13</f>
        <v>0</v>
      </c>
      <c r="J13" s="100"/>
    </row>
    <row r="14" spans="1:94" s="16" customFormat="1" x14ac:dyDescent="0.25">
      <c r="A14" s="9"/>
      <c r="B14" s="48" t="s">
        <v>111</v>
      </c>
      <c r="C14" s="66">
        <v>1.3</v>
      </c>
      <c r="D14" s="49"/>
      <c r="E14" s="66" t="s">
        <v>12</v>
      </c>
      <c r="F14" s="50">
        <f>$F$10*3</f>
        <v>2229</v>
      </c>
      <c r="G14" s="331">
        <f>ROUND(D14*F14,2)</f>
        <v>0</v>
      </c>
      <c r="H14" s="50">
        <f>$H$10*3</f>
        <v>2898</v>
      </c>
      <c r="I14" s="331">
        <f>D14*H14</f>
        <v>0</v>
      </c>
      <c r="J14" s="101"/>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row>
    <row r="15" spans="1:94" ht="25.5" x14ac:dyDescent="0.25">
      <c r="A15" s="310"/>
      <c r="B15" s="116" t="s">
        <v>509</v>
      </c>
      <c r="C15" s="61">
        <v>1.5</v>
      </c>
      <c r="D15" s="53"/>
      <c r="E15" s="63"/>
      <c r="F15" s="54"/>
      <c r="G15" s="332"/>
      <c r="H15" s="408"/>
      <c r="I15" s="56"/>
      <c r="J15" s="99" t="s">
        <v>556</v>
      </c>
    </row>
    <row r="16" spans="1:94" ht="38.25" x14ac:dyDescent="0.25">
      <c r="A16" s="9"/>
      <c r="B16" s="77" t="s">
        <v>535</v>
      </c>
      <c r="C16" s="64" t="s">
        <v>22</v>
      </c>
      <c r="D16" s="424"/>
      <c r="E16" s="64" t="s">
        <v>69</v>
      </c>
      <c r="F16" s="47">
        <f>2*1000</f>
        <v>2000</v>
      </c>
      <c r="G16" s="330">
        <f>ROUND(D16*F16,2)</f>
        <v>0</v>
      </c>
      <c r="H16" s="330">
        <f>2.6*1000</f>
        <v>2600</v>
      </c>
      <c r="I16" s="58">
        <f>D16*H16</f>
        <v>0</v>
      </c>
      <c r="J16" s="452" t="s">
        <v>546</v>
      </c>
    </row>
    <row r="17" spans="1:94" s="16" customFormat="1" ht="25.5" x14ac:dyDescent="0.25">
      <c r="A17" s="9"/>
      <c r="B17" s="90" t="s">
        <v>447</v>
      </c>
      <c r="C17" s="66" t="s">
        <v>22</v>
      </c>
      <c r="D17" s="49"/>
      <c r="E17" s="66" t="s">
        <v>69</v>
      </c>
      <c r="F17" s="50">
        <f>2.5*1000</f>
        <v>2500</v>
      </c>
      <c r="G17" s="331">
        <f>ROUND(D17*F17,2)</f>
        <v>0</v>
      </c>
      <c r="H17" s="331">
        <f>3.25*1000</f>
        <v>3250</v>
      </c>
      <c r="I17" s="60">
        <f>D17*H17</f>
        <v>0</v>
      </c>
      <c r="J17" s="452" t="s">
        <v>547</v>
      </c>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row>
    <row r="18" spans="1:94" x14ac:dyDescent="0.25">
      <c r="A18" s="9"/>
      <c r="B18" s="42" t="s">
        <v>511</v>
      </c>
      <c r="C18" s="61">
        <v>1.6</v>
      </c>
      <c r="D18" s="171"/>
      <c r="E18" s="61"/>
      <c r="F18" s="44"/>
      <c r="G18" s="332"/>
      <c r="H18" s="332"/>
      <c r="I18" s="56"/>
      <c r="J18" s="105"/>
    </row>
    <row r="19" spans="1:94" ht="38.25" x14ac:dyDescent="0.25">
      <c r="A19" s="9"/>
      <c r="B19" s="318" t="s">
        <v>536</v>
      </c>
      <c r="C19" s="313" t="s">
        <v>24</v>
      </c>
      <c r="D19" s="306"/>
      <c r="E19" s="313" t="s">
        <v>69</v>
      </c>
      <c r="F19" s="130">
        <f>ROUND($F$10/1.6,2)</f>
        <v>464.38</v>
      </c>
      <c r="G19" s="333">
        <f>ROUND(D19*F19,2)</f>
        <v>0</v>
      </c>
      <c r="H19" s="333">
        <f>$H$10/1.6</f>
        <v>603.75</v>
      </c>
      <c r="I19" s="82">
        <f>D19*H19</f>
        <v>0</v>
      </c>
      <c r="J19" s="450" t="s">
        <v>548</v>
      </c>
    </row>
    <row r="20" spans="1:94" ht="25.5" x14ac:dyDescent="0.25">
      <c r="A20" s="9"/>
      <c r="B20" s="13" t="s">
        <v>448</v>
      </c>
      <c r="C20" s="15" t="s">
        <v>24</v>
      </c>
      <c r="D20" s="80"/>
      <c r="E20" s="15" t="s">
        <v>69</v>
      </c>
      <c r="F20" s="1">
        <f>$F$10/1</f>
        <v>743</v>
      </c>
      <c r="G20" s="448">
        <f>ROUND(D20*F20,2)</f>
        <v>0</v>
      </c>
      <c r="H20" s="448">
        <f>$H$10/1</f>
        <v>966</v>
      </c>
      <c r="I20" s="456">
        <f>D20*H20</f>
        <v>0</v>
      </c>
      <c r="J20" s="444" t="s">
        <v>549</v>
      </c>
    </row>
    <row r="21" spans="1:94" ht="76.5" x14ac:dyDescent="0.25">
      <c r="A21" s="9"/>
      <c r="B21" s="319" t="s">
        <v>523</v>
      </c>
      <c r="C21" s="61">
        <v>1.4</v>
      </c>
      <c r="D21" s="205"/>
      <c r="E21" s="61"/>
      <c r="F21" s="44"/>
      <c r="G21" s="332"/>
      <c r="H21" s="332"/>
      <c r="I21" s="56"/>
      <c r="J21" s="99" t="s">
        <v>543</v>
      </c>
    </row>
    <row r="22" spans="1:94" x14ac:dyDescent="0.25">
      <c r="A22" s="9"/>
      <c r="B22" s="409" t="s">
        <v>122</v>
      </c>
      <c r="C22" s="313" t="s">
        <v>16</v>
      </c>
      <c r="D22" s="410"/>
      <c r="E22" s="411"/>
      <c r="F22" s="130"/>
      <c r="G22" s="333"/>
      <c r="H22" s="333"/>
      <c r="I22" s="82"/>
      <c r="J22" s="412"/>
    </row>
    <row r="23" spans="1:94" x14ac:dyDescent="0.25">
      <c r="A23" s="9"/>
      <c r="B23" s="88" t="s">
        <v>123</v>
      </c>
      <c r="C23" s="64" t="s">
        <v>16</v>
      </c>
      <c r="D23" s="172"/>
      <c r="E23" s="86" t="s">
        <v>60</v>
      </c>
      <c r="F23" s="47">
        <v>2700</v>
      </c>
      <c r="G23" s="330">
        <f>ROUND(D23*F23,2)</f>
        <v>0</v>
      </c>
      <c r="H23" s="47">
        <v>2700</v>
      </c>
      <c r="I23" s="58">
        <f>D23*H23</f>
        <v>0</v>
      </c>
      <c r="J23" s="475" t="s">
        <v>490</v>
      </c>
    </row>
    <row r="24" spans="1:94" x14ac:dyDescent="0.25">
      <c r="A24" s="9"/>
      <c r="B24" s="88" t="s">
        <v>124</v>
      </c>
      <c r="C24" s="64" t="s">
        <v>16</v>
      </c>
      <c r="D24" s="46"/>
      <c r="E24" s="86" t="s">
        <v>60</v>
      </c>
      <c r="F24" s="47">
        <v>5400</v>
      </c>
      <c r="G24" s="330">
        <f>ROUND(D24*F24,2)</f>
        <v>0</v>
      </c>
      <c r="H24" s="47">
        <v>5400</v>
      </c>
      <c r="I24" s="58">
        <f>D24*H24</f>
        <v>0</v>
      </c>
      <c r="J24" s="476"/>
    </row>
    <row r="25" spans="1:94" x14ac:dyDescent="0.25">
      <c r="A25" s="9"/>
      <c r="B25" s="88" t="s">
        <v>116</v>
      </c>
      <c r="C25" s="64" t="s">
        <v>16</v>
      </c>
      <c r="D25" s="46"/>
      <c r="E25" s="86" t="s">
        <v>60</v>
      </c>
      <c r="F25" s="47">
        <v>8100</v>
      </c>
      <c r="G25" s="330">
        <f>ROUND(D25*F25,2)</f>
        <v>0</v>
      </c>
      <c r="H25" s="47">
        <v>8100</v>
      </c>
      <c r="I25" s="58">
        <f>D25*H25</f>
        <v>0</v>
      </c>
      <c r="J25" s="477"/>
    </row>
    <row r="26" spans="1:94" x14ac:dyDescent="0.25">
      <c r="A26" s="9"/>
      <c r="B26" s="77" t="s">
        <v>125</v>
      </c>
      <c r="C26" s="64" t="s">
        <v>17</v>
      </c>
      <c r="D26" s="172"/>
      <c r="E26" s="86" t="s">
        <v>60</v>
      </c>
      <c r="F26" s="47">
        <v>4660</v>
      </c>
      <c r="G26" s="330">
        <f>ROUND(D26*F26,2)</f>
        <v>0</v>
      </c>
      <c r="H26" s="330">
        <v>4660</v>
      </c>
      <c r="I26" s="58">
        <f t="shared" ref="I26:I27" si="0">D26*H26</f>
        <v>0</v>
      </c>
      <c r="J26" s="100" t="s">
        <v>488</v>
      </c>
    </row>
    <row r="27" spans="1:94" ht="25.5" x14ac:dyDescent="0.25">
      <c r="A27" s="9"/>
      <c r="B27" s="77" t="s">
        <v>126</v>
      </c>
      <c r="C27" s="64" t="s">
        <v>18</v>
      </c>
      <c r="D27" s="172"/>
      <c r="E27" s="86" t="s">
        <v>60</v>
      </c>
      <c r="F27" s="47">
        <v>1970</v>
      </c>
      <c r="G27" s="50">
        <f>ROUND(D27*F27,2)</f>
        <v>0</v>
      </c>
      <c r="H27" s="330">
        <v>1970</v>
      </c>
      <c r="I27" s="58">
        <f t="shared" si="0"/>
        <v>0</v>
      </c>
      <c r="J27" s="452" t="s">
        <v>563</v>
      </c>
    </row>
    <row r="28" spans="1:94" s="27" customFormat="1" x14ac:dyDescent="0.25">
      <c r="A28" s="9"/>
      <c r="B28" s="42" t="s">
        <v>512</v>
      </c>
      <c r="C28" s="61">
        <v>1.7</v>
      </c>
      <c r="D28" s="171"/>
      <c r="E28" s="61"/>
      <c r="F28" s="44"/>
      <c r="G28" s="332"/>
      <c r="H28" s="332"/>
      <c r="I28" s="56"/>
      <c r="J28" s="105"/>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row>
    <row r="29" spans="1:94" ht="38.25" x14ac:dyDescent="0.25">
      <c r="A29" s="9"/>
      <c r="B29" s="88" t="s">
        <v>482</v>
      </c>
      <c r="C29" s="64" t="s">
        <v>19</v>
      </c>
      <c r="D29" s="172"/>
      <c r="E29" s="64" t="s">
        <v>60</v>
      </c>
      <c r="F29" s="47">
        <f>ROUND($F$10/4,2)</f>
        <v>185.75</v>
      </c>
      <c r="G29" s="330">
        <f>ROUND(D29*F29,2)</f>
        <v>0</v>
      </c>
      <c r="H29" s="330">
        <f>$H$10/4</f>
        <v>241.5</v>
      </c>
      <c r="I29" s="58">
        <f t="shared" ref="I29:I30" si="1">D29*H29</f>
        <v>0</v>
      </c>
      <c r="J29" s="327" t="s">
        <v>504</v>
      </c>
    </row>
    <row r="30" spans="1:94" s="16" customFormat="1" ht="38.25" x14ac:dyDescent="0.25">
      <c r="A30" s="9"/>
      <c r="B30" s="89" t="s">
        <v>483</v>
      </c>
      <c r="C30" s="66" t="s">
        <v>19</v>
      </c>
      <c r="D30" s="52"/>
      <c r="E30" s="66" t="s">
        <v>60</v>
      </c>
      <c r="F30" s="50">
        <f>ROUND($F$10/2,2)</f>
        <v>371.5</v>
      </c>
      <c r="G30" s="331">
        <f>ROUND(D30*F30,2)</f>
        <v>0</v>
      </c>
      <c r="H30" s="331">
        <f>$H$10/2</f>
        <v>483</v>
      </c>
      <c r="I30" s="60">
        <f t="shared" si="1"/>
        <v>0</v>
      </c>
      <c r="J30" s="328" t="s">
        <v>505</v>
      </c>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row>
    <row r="31" spans="1:94" s="27" customFormat="1" x14ac:dyDescent="0.25">
      <c r="A31" s="9"/>
      <c r="B31" s="92" t="s">
        <v>513</v>
      </c>
      <c r="C31" s="61">
        <v>1.8</v>
      </c>
      <c r="D31" s="83"/>
      <c r="E31" s="61"/>
      <c r="F31" s="83"/>
      <c r="G31" s="332"/>
      <c r="H31" s="413"/>
      <c r="I31" s="56"/>
      <c r="J31" s="99" t="s">
        <v>489</v>
      </c>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row>
    <row r="32" spans="1:94" x14ac:dyDescent="0.25">
      <c r="A32" s="310"/>
      <c r="B32" s="91" t="s">
        <v>484</v>
      </c>
      <c r="C32" s="64" t="s">
        <v>107</v>
      </c>
      <c r="D32" s="45"/>
      <c r="E32" s="64" t="s">
        <v>12</v>
      </c>
      <c r="F32" s="47">
        <f>ROUND($F$10*1.25,2)</f>
        <v>928.75</v>
      </c>
      <c r="G32" s="330">
        <f>ROUND(D32*F32,2)</f>
        <v>0</v>
      </c>
      <c r="H32" s="330">
        <f>$H$10*1.25</f>
        <v>1207.5</v>
      </c>
      <c r="I32" s="58">
        <f>D32*H32</f>
        <v>0</v>
      </c>
      <c r="J32" s="452" t="s">
        <v>374</v>
      </c>
    </row>
    <row r="33" spans="1:94" ht="25.5" x14ac:dyDescent="0.25">
      <c r="A33" s="310"/>
      <c r="B33" s="91" t="s">
        <v>485</v>
      </c>
      <c r="C33" s="64" t="s">
        <v>108</v>
      </c>
      <c r="D33" s="45"/>
      <c r="E33" s="64" t="s">
        <v>12</v>
      </c>
      <c r="F33" s="47">
        <f>ROUND($F$10*1.5,2)</f>
        <v>1114.5</v>
      </c>
      <c r="G33" s="330">
        <f>ROUND(D33*F33,2)</f>
        <v>0</v>
      </c>
      <c r="H33" s="330">
        <f>$H$10*1.5</f>
        <v>1449</v>
      </c>
      <c r="I33" s="58">
        <f>D33*H33</f>
        <v>0</v>
      </c>
      <c r="J33" s="452" t="s">
        <v>375</v>
      </c>
    </row>
    <row r="34" spans="1:94" s="16" customFormat="1" x14ac:dyDescent="0.25">
      <c r="A34" s="310"/>
      <c r="B34" s="117" t="s">
        <v>486</v>
      </c>
      <c r="C34" s="66" t="s">
        <v>109</v>
      </c>
      <c r="D34" s="48"/>
      <c r="E34" s="66" t="s">
        <v>12</v>
      </c>
      <c r="F34" s="50">
        <v>900</v>
      </c>
      <c r="G34" s="331">
        <f>ROUND(D34*F34,2)</f>
        <v>0</v>
      </c>
      <c r="H34" s="331">
        <v>900</v>
      </c>
      <c r="I34" s="60">
        <f>D34*H34</f>
        <v>0</v>
      </c>
      <c r="J34" s="443" t="s">
        <v>376</v>
      </c>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row>
    <row r="35" spans="1:94" s="27" customFormat="1" x14ac:dyDescent="0.25">
      <c r="A35" s="310"/>
      <c r="B35" s="362" t="s">
        <v>353</v>
      </c>
      <c r="C35" s="61">
        <v>1.9</v>
      </c>
      <c r="D35" s="83"/>
      <c r="E35" s="61"/>
      <c r="F35" s="44"/>
      <c r="G35" s="332"/>
      <c r="H35" s="332"/>
      <c r="I35" s="56"/>
      <c r="J35" s="99"/>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row>
    <row r="36" spans="1:94" ht="25.5" x14ac:dyDescent="0.25">
      <c r="A36" s="310"/>
      <c r="B36" s="374" t="s">
        <v>450</v>
      </c>
      <c r="C36" s="66">
        <v>1.9</v>
      </c>
      <c r="D36" s="48"/>
      <c r="E36" s="66" t="s">
        <v>12</v>
      </c>
      <c r="F36" s="50">
        <f>ROUND($F$10*1.2,2)</f>
        <v>891.6</v>
      </c>
      <c r="G36" s="50">
        <f>D36*F36</f>
        <v>0</v>
      </c>
      <c r="H36" s="331">
        <f>$H$10*1.2</f>
        <v>1159.2</v>
      </c>
      <c r="I36" s="60">
        <f>D36*H36</f>
        <v>0</v>
      </c>
      <c r="J36" s="102" t="s">
        <v>404</v>
      </c>
    </row>
    <row r="37" spans="1:94" ht="76.5" x14ac:dyDescent="0.25">
      <c r="A37" s="9"/>
      <c r="B37" s="368" t="s">
        <v>229</v>
      </c>
      <c r="C37" s="313">
        <v>1.1299999999999999</v>
      </c>
      <c r="D37" s="306"/>
      <c r="E37" s="313"/>
      <c r="F37" s="130"/>
      <c r="G37" s="333"/>
      <c r="H37" s="333"/>
      <c r="I37" s="333"/>
      <c r="J37" s="450" t="s">
        <v>552</v>
      </c>
    </row>
    <row r="38" spans="1:94" s="16" customFormat="1" x14ac:dyDescent="0.25">
      <c r="A38" s="310"/>
      <c r="B38" s="3" t="s">
        <v>451</v>
      </c>
      <c r="C38" s="144">
        <v>1.1299999999999999</v>
      </c>
      <c r="D38" s="81"/>
      <c r="E38" s="17" t="s">
        <v>60</v>
      </c>
      <c r="F38" s="10">
        <v>400</v>
      </c>
      <c r="G38" s="449">
        <f>IF(D38=0,0,IF(D38*F38&lt;400,400,D38*F38))</f>
        <v>0</v>
      </c>
      <c r="H38" s="449">
        <v>20</v>
      </c>
      <c r="I38" s="449">
        <f>IF(D38=0,0,IF(D38*H38&lt;400,400,D38*H38))</f>
        <v>0</v>
      </c>
      <c r="J38" s="445" t="s">
        <v>566</v>
      </c>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row>
    <row r="39" spans="1:94" ht="51" x14ac:dyDescent="0.25">
      <c r="A39" s="9"/>
      <c r="B39" s="116" t="s">
        <v>527</v>
      </c>
      <c r="C39" s="61">
        <v>10.15</v>
      </c>
      <c r="D39" s="171"/>
      <c r="E39" s="61"/>
      <c r="F39" s="44"/>
      <c r="G39" s="332"/>
      <c r="H39" s="332"/>
      <c r="I39" s="56"/>
      <c r="J39" s="99" t="s">
        <v>550</v>
      </c>
    </row>
    <row r="40" spans="1:94" x14ac:dyDescent="0.25">
      <c r="A40" s="9"/>
      <c r="B40" s="77" t="s">
        <v>537</v>
      </c>
      <c r="C40" s="64">
        <v>10.15</v>
      </c>
      <c r="D40" s="172"/>
      <c r="E40" s="64" t="s">
        <v>69</v>
      </c>
      <c r="F40" s="47">
        <f>$F$10*1</f>
        <v>743</v>
      </c>
      <c r="G40" s="330">
        <f>ROUND(D40*F40,2)</f>
        <v>0</v>
      </c>
      <c r="H40" s="330">
        <f>$H$10*1</f>
        <v>966</v>
      </c>
      <c r="I40" s="58">
        <f>D40*H40</f>
        <v>0</v>
      </c>
      <c r="J40" s="100" t="s">
        <v>492</v>
      </c>
    </row>
    <row r="41" spans="1:94" x14ac:dyDescent="0.25">
      <c r="A41" s="9"/>
      <c r="B41" s="77" t="s">
        <v>487</v>
      </c>
      <c r="C41" s="64">
        <v>10.15</v>
      </c>
      <c r="D41" s="172"/>
      <c r="E41" s="64" t="s">
        <v>69</v>
      </c>
      <c r="F41" s="47">
        <f>$F$10*1.25</f>
        <v>928.75</v>
      </c>
      <c r="G41" s="330">
        <f>ROUND(D41*F41,2)</f>
        <v>0</v>
      </c>
      <c r="H41" s="330">
        <f>$H$10*1.25</f>
        <v>1207.5</v>
      </c>
      <c r="I41" s="58">
        <f>D41*H41</f>
        <v>0</v>
      </c>
      <c r="J41" s="100"/>
    </row>
    <row r="42" spans="1:94" s="12" customFormat="1" x14ac:dyDescent="0.25">
      <c r="A42" s="322"/>
      <c r="B42" s="119" t="s">
        <v>312</v>
      </c>
      <c r="C42" s="323"/>
      <c r="D42" s="324"/>
      <c r="E42" s="324"/>
      <c r="F42" s="35"/>
      <c r="G42" s="32">
        <f>SUM(G10:G41)</f>
        <v>0</v>
      </c>
      <c r="H42" s="38"/>
      <c r="I42" s="32">
        <f>SUM(I10:I41)</f>
        <v>0</v>
      </c>
      <c r="J42" s="325"/>
    </row>
    <row r="43" spans="1:94" s="12" customFormat="1" x14ac:dyDescent="0.25">
      <c r="A43" s="310"/>
      <c r="B43" s="122"/>
      <c r="C43" s="376"/>
      <c r="D43" s="85"/>
      <c r="E43" s="85"/>
      <c r="F43" s="11"/>
      <c r="G43" s="442"/>
      <c r="H43" s="442"/>
      <c r="I43" s="392"/>
      <c r="J43" s="342"/>
    </row>
    <row r="44" spans="1:94" x14ac:dyDescent="0.25">
      <c r="A44" s="457">
        <v>2</v>
      </c>
      <c r="B44" s="122" t="s">
        <v>562</v>
      </c>
      <c r="C44" s="85"/>
      <c r="D44" s="458"/>
      <c r="E44" s="85"/>
      <c r="F44" s="458"/>
      <c r="G44" s="20"/>
      <c r="H44" s="20"/>
      <c r="I44" s="85"/>
      <c r="J44" s="153"/>
    </row>
    <row r="45" spans="1:94" ht="25.5" x14ac:dyDescent="0.25">
      <c r="A45" s="9"/>
      <c r="B45" s="362" t="s">
        <v>514</v>
      </c>
      <c r="C45" s="61">
        <v>4.9000000000000004</v>
      </c>
      <c r="D45" s="43"/>
      <c r="E45" s="61"/>
      <c r="F45" s="54"/>
      <c r="G45" s="332"/>
      <c r="H45" s="408"/>
      <c r="I45" s="56"/>
      <c r="J45" s="99" t="s">
        <v>551</v>
      </c>
    </row>
    <row r="46" spans="1:94" x14ac:dyDescent="0.25">
      <c r="A46" s="9"/>
      <c r="B46" s="352" t="s">
        <v>538</v>
      </c>
      <c r="C46" s="313">
        <v>4.9000000000000004</v>
      </c>
      <c r="D46" s="306"/>
      <c r="E46" s="313" t="s">
        <v>119</v>
      </c>
      <c r="F46" s="130">
        <f>ROUND($F$10/2,2)</f>
        <v>371.5</v>
      </c>
      <c r="G46" s="333">
        <f>ROUND(D46*F46,2)</f>
        <v>0</v>
      </c>
      <c r="H46" s="333">
        <f>$H$10/2</f>
        <v>483</v>
      </c>
      <c r="I46" s="82">
        <f>D46*H46</f>
        <v>0</v>
      </c>
      <c r="J46" s="353" t="s">
        <v>188</v>
      </c>
    </row>
    <row r="47" spans="1:94" x14ac:dyDescent="0.25">
      <c r="A47" s="9"/>
      <c r="B47" s="88" t="s">
        <v>466</v>
      </c>
      <c r="C47" s="64">
        <v>4.9000000000000004</v>
      </c>
      <c r="D47" s="46"/>
      <c r="E47" s="64" t="s">
        <v>119</v>
      </c>
      <c r="F47" s="47">
        <f>ROUND($F$10/1.5,2)</f>
        <v>495.33</v>
      </c>
      <c r="G47" s="330">
        <f>ROUND(D47*F47,2)</f>
        <v>0</v>
      </c>
      <c r="H47" s="330">
        <f>$H$10/1.5</f>
        <v>644</v>
      </c>
      <c r="I47" s="58">
        <f t="shared" ref="I47:I48" si="2">D47*H47</f>
        <v>0</v>
      </c>
      <c r="J47" s="100" t="s">
        <v>189</v>
      </c>
    </row>
    <row r="48" spans="1:94" x14ac:dyDescent="0.25">
      <c r="A48" s="9"/>
      <c r="B48" s="373" t="s">
        <v>467</v>
      </c>
      <c r="C48" s="84">
        <v>4.9000000000000004</v>
      </c>
      <c r="D48" s="320"/>
      <c r="E48" s="84" t="s">
        <v>119</v>
      </c>
      <c r="F48" s="211">
        <f>$F$10/1</f>
        <v>743</v>
      </c>
      <c r="G48" s="334">
        <f>ROUND(D48*F48,2)</f>
        <v>0</v>
      </c>
      <c r="H48" s="334">
        <f>$H$10/1</f>
        <v>966</v>
      </c>
      <c r="I48" s="212">
        <f t="shared" si="2"/>
        <v>0</v>
      </c>
      <c r="J48" s="106" t="s">
        <v>190</v>
      </c>
    </row>
    <row r="49" spans="1:10" ht="38.25" x14ac:dyDescent="0.25">
      <c r="A49" s="9"/>
      <c r="B49" s="308" t="s">
        <v>410</v>
      </c>
      <c r="C49" s="17"/>
      <c r="D49" s="223"/>
      <c r="E49" s="17" t="s">
        <v>137</v>
      </c>
      <c r="F49" s="10">
        <v>3.5</v>
      </c>
      <c r="G49" s="449">
        <f>ROUND(D49*F49,2)</f>
        <v>0</v>
      </c>
      <c r="H49" s="449">
        <v>3.5</v>
      </c>
      <c r="I49" s="163">
        <f>D49*H49</f>
        <v>0</v>
      </c>
      <c r="J49" s="445" t="s">
        <v>347</v>
      </c>
    </row>
    <row r="50" spans="1:10" x14ac:dyDescent="0.25">
      <c r="A50" s="322"/>
      <c r="B50" s="119" t="s">
        <v>311</v>
      </c>
      <c r="C50" s="314"/>
      <c r="D50" s="114"/>
      <c r="E50" s="114"/>
      <c r="F50" s="315"/>
      <c r="G50" s="32">
        <f>SUM(G45:G49)</f>
        <v>0</v>
      </c>
      <c r="H50" s="315"/>
      <c r="I50" s="32">
        <f>SUM(I45:I49)</f>
        <v>0</v>
      </c>
      <c r="J50" s="120"/>
    </row>
    <row r="51" spans="1:10" x14ac:dyDescent="0.25">
      <c r="A51" s="341"/>
      <c r="B51" s="33"/>
      <c r="C51" s="114"/>
      <c r="D51" s="114"/>
      <c r="E51" s="114"/>
      <c r="F51" s="115"/>
      <c r="G51" s="315"/>
      <c r="H51" s="115"/>
      <c r="I51" s="115"/>
      <c r="J51" s="414"/>
    </row>
    <row r="52" spans="1:10" ht="25.5" x14ac:dyDescent="0.25">
      <c r="A52" s="9">
        <v>3</v>
      </c>
      <c r="B52" s="395" t="s">
        <v>553</v>
      </c>
      <c r="C52" s="345"/>
      <c r="D52" s="345"/>
      <c r="E52" s="345"/>
      <c r="F52" s="345"/>
      <c r="G52" s="345"/>
      <c r="H52" s="393"/>
      <c r="I52" s="345"/>
      <c r="J52" s="455"/>
    </row>
    <row r="53" spans="1:10" ht="25.5" x14ac:dyDescent="0.25">
      <c r="A53" s="9"/>
      <c r="B53" s="363" t="s">
        <v>228</v>
      </c>
      <c r="C53" s="55" t="s">
        <v>251</v>
      </c>
      <c r="D53" s="43"/>
      <c r="E53" s="61"/>
      <c r="F53" s="43"/>
      <c r="G53" s="76"/>
      <c r="H53" s="76"/>
      <c r="I53" s="43"/>
      <c r="J53" s="99" t="s">
        <v>564</v>
      </c>
    </row>
    <row r="54" spans="1:10" x14ac:dyDescent="0.25">
      <c r="A54" s="9"/>
      <c r="B54" s="364" t="s">
        <v>80</v>
      </c>
      <c r="C54" s="286" t="s">
        <v>79</v>
      </c>
      <c r="D54" s="46"/>
      <c r="E54" s="64"/>
      <c r="F54" s="46"/>
      <c r="G54" s="73"/>
      <c r="H54" s="73"/>
      <c r="I54" s="46"/>
      <c r="J54" s="365"/>
    </row>
    <row r="55" spans="1:10" x14ac:dyDescent="0.25">
      <c r="A55" s="9"/>
      <c r="B55" s="318" t="s">
        <v>536</v>
      </c>
      <c r="C55" s="313"/>
      <c r="D55" s="306"/>
      <c r="E55" s="313"/>
      <c r="F55" s="130"/>
      <c r="G55" s="333"/>
      <c r="H55" s="333"/>
      <c r="I55" s="130"/>
      <c r="J55" s="450"/>
    </row>
    <row r="56" spans="1:10" x14ac:dyDescent="0.25">
      <c r="A56" s="9"/>
      <c r="B56" s="51" t="s">
        <v>452</v>
      </c>
      <c r="C56" s="64"/>
      <c r="D56" s="46"/>
      <c r="E56" s="46" t="s">
        <v>119</v>
      </c>
      <c r="F56" s="47">
        <f>ROUND($F$10/1.25,2)</f>
        <v>594.4</v>
      </c>
      <c r="G56" s="330">
        <f>ROUND(D56*F56,2)</f>
        <v>0</v>
      </c>
      <c r="H56" s="330">
        <f>$H$10/1.25</f>
        <v>772.8</v>
      </c>
      <c r="I56" s="47">
        <f>D56*H56</f>
        <v>0</v>
      </c>
      <c r="J56" s="452" t="s">
        <v>497</v>
      </c>
    </row>
    <row r="57" spans="1:10" x14ac:dyDescent="0.25">
      <c r="A57" s="9"/>
      <c r="B57" s="51" t="s">
        <v>453</v>
      </c>
      <c r="C57" s="64"/>
      <c r="D57" s="46"/>
      <c r="E57" s="46" t="s">
        <v>119</v>
      </c>
      <c r="F57" s="47">
        <f>ROUND($F$10/1.5,2)</f>
        <v>495.33</v>
      </c>
      <c r="G57" s="330">
        <f>ROUND(D57*F57,2)</f>
        <v>0</v>
      </c>
      <c r="H57" s="330">
        <f>$H$10/1.5</f>
        <v>644</v>
      </c>
      <c r="I57" s="47">
        <f t="shared" ref="I57:I58" si="3">D57*H57</f>
        <v>0</v>
      </c>
      <c r="J57" s="452" t="s">
        <v>565</v>
      </c>
    </row>
    <row r="58" spans="1:10" x14ac:dyDescent="0.25">
      <c r="A58" s="9"/>
      <c r="B58" s="51" t="s">
        <v>454</v>
      </c>
      <c r="C58" s="64"/>
      <c r="D58" s="46"/>
      <c r="E58" s="46" t="s">
        <v>119</v>
      </c>
      <c r="F58" s="47">
        <f>ROUND($F$10/1.75,2)</f>
        <v>424.57</v>
      </c>
      <c r="G58" s="330">
        <f>ROUND(D58*F58,2)</f>
        <v>0</v>
      </c>
      <c r="H58" s="330">
        <f>$H$10/1.75</f>
        <v>552</v>
      </c>
      <c r="I58" s="47">
        <f t="shared" si="3"/>
        <v>0</v>
      </c>
      <c r="J58" s="452"/>
    </row>
    <row r="59" spans="1:10" x14ac:dyDescent="0.25">
      <c r="A59" s="9"/>
      <c r="B59" s="51" t="s">
        <v>255</v>
      </c>
      <c r="C59" s="64"/>
      <c r="D59" s="46"/>
      <c r="E59" s="46"/>
      <c r="F59" s="47"/>
      <c r="G59" s="330"/>
      <c r="H59" s="330"/>
      <c r="I59" s="47"/>
      <c r="J59" s="100"/>
    </row>
    <row r="60" spans="1:10" x14ac:dyDescent="0.25">
      <c r="A60" s="9"/>
      <c r="B60" s="51" t="s">
        <v>455</v>
      </c>
      <c r="C60" s="64"/>
      <c r="D60" s="46"/>
      <c r="E60" s="46" t="s">
        <v>119</v>
      </c>
      <c r="F60" s="47">
        <f>ROUND($F$10/0.75,2)</f>
        <v>990.67</v>
      </c>
      <c r="G60" s="330">
        <f>ROUND(D60*F60,2)</f>
        <v>0</v>
      </c>
      <c r="H60" s="330">
        <f>$H$10/0.75</f>
        <v>1288</v>
      </c>
      <c r="I60" s="47">
        <f t="shared" ref="I60:I61" si="4">D60*H60</f>
        <v>0</v>
      </c>
      <c r="J60" s="452" t="s">
        <v>497</v>
      </c>
    </row>
    <row r="61" spans="1:10" x14ac:dyDescent="0.25">
      <c r="A61" s="9"/>
      <c r="B61" s="51" t="s">
        <v>456</v>
      </c>
      <c r="C61" s="64"/>
      <c r="D61" s="46"/>
      <c r="E61" s="46" t="s">
        <v>119</v>
      </c>
      <c r="F61" s="47">
        <f>ROUND(F$10/1,2)</f>
        <v>743</v>
      </c>
      <c r="G61" s="330">
        <f>ROUND(D61*F61,2)</f>
        <v>0</v>
      </c>
      <c r="H61" s="330">
        <f>$H$10/1</f>
        <v>966</v>
      </c>
      <c r="I61" s="47">
        <f t="shared" si="4"/>
        <v>0</v>
      </c>
      <c r="J61" s="452"/>
    </row>
    <row r="62" spans="1:10" x14ac:dyDescent="0.25">
      <c r="A62" s="9"/>
      <c r="B62" s="51" t="s">
        <v>256</v>
      </c>
      <c r="C62" s="64"/>
      <c r="D62" s="46"/>
      <c r="E62" s="46"/>
      <c r="F62" s="47"/>
      <c r="G62" s="330"/>
      <c r="H62" s="330"/>
      <c r="I62" s="47"/>
      <c r="J62" s="100"/>
    </row>
    <row r="63" spans="1:10" x14ac:dyDescent="0.25">
      <c r="A63" s="9"/>
      <c r="B63" s="51" t="s">
        <v>452</v>
      </c>
      <c r="C63" s="64"/>
      <c r="D63" s="46"/>
      <c r="E63" s="46" t="s">
        <v>119</v>
      </c>
      <c r="F63" s="47">
        <f>$F$10/1</f>
        <v>743</v>
      </c>
      <c r="G63" s="330">
        <f>ROUND(D63*F63,2)</f>
        <v>0</v>
      </c>
      <c r="H63" s="330">
        <f>$H$10/1</f>
        <v>966</v>
      </c>
      <c r="I63" s="47">
        <f>D63*H63</f>
        <v>0</v>
      </c>
      <c r="J63" s="452" t="s">
        <v>497</v>
      </c>
    </row>
    <row r="64" spans="1:10" x14ac:dyDescent="0.25">
      <c r="A64" s="9"/>
      <c r="B64" s="51" t="s">
        <v>453</v>
      </c>
      <c r="C64" s="64"/>
      <c r="D64" s="46"/>
      <c r="E64" s="46" t="s">
        <v>119</v>
      </c>
      <c r="F64" s="47">
        <f>ROUND($F$10/1.25,2)</f>
        <v>594.4</v>
      </c>
      <c r="G64" s="330">
        <f>ROUND(D64*F64,2)</f>
        <v>0</v>
      </c>
      <c r="H64" s="330">
        <f>$H$10/1.25</f>
        <v>772.8</v>
      </c>
      <c r="I64" s="47">
        <f t="shared" ref="I64:I65" si="5">D64*H64</f>
        <v>0</v>
      </c>
      <c r="J64" s="452" t="s">
        <v>565</v>
      </c>
    </row>
    <row r="65" spans="1:10" x14ac:dyDescent="0.25">
      <c r="A65" s="9"/>
      <c r="B65" s="51" t="s">
        <v>454</v>
      </c>
      <c r="C65" s="64"/>
      <c r="D65" s="46"/>
      <c r="E65" s="46" t="s">
        <v>119</v>
      </c>
      <c r="F65" s="47">
        <f>ROUND($F$10/1.5,2)</f>
        <v>495.33</v>
      </c>
      <c r="G65" s="330">
        <f>ROUND(D65*F65,2)</f>
        <v>0</v>
      </c>
      <c r="H65" s="330">
        <f>$H$10/1.5</f>
        <v>644</v>
      </c>
      <c r="I65" s="47">
        <f t="shared" si="5"/>
        <v>0</v>
      </c>
      <c r="J65" s="452"/>
    </row>
    <row r="66" spans="1:10" x14ac:dyDescent="0.25">
      <c r="A66" s="9"/>
      <c r="B66" s="364" t="s">
        <v>268</v>
      </c>
      <c r="C66" s="64" t="s">
        <v>81</v>
      </c>
      <c r="D66" s="46"/>
      <c r="E66" s="46"/>
      <c r="F66" s="47"/>
      <c r="G66" s="330"/>
      <c r="H66" s="330"/>
      <c r="I66" s="47"/>
      <c r="J66" s="452" t="s">
        <v>498</v>
      </c>
    </row>
    <row r="67" spans="1:10" x14ac:dyDescent="0.25">
      <c r="A67" s="9"/>
      <c r="B67" s="51" t="s">
        <v>405</v>
      </c>
      <c r="C67" s="46"/>
      <c r="D67" s="46"/>
      <c r="E67" s="46"/>
      <c r="F67" s="47"/>
      <c r="G67" s="47"/>
      <c r="H67" s="330"/>
      <c r="I67" s="47"/>
      <c r="J67" s="51"/>
    </row>
    <row r="68" spans="1:10" x14ac:dyDescent="0.25">
      <c r="A68" s="9"/>
      <c r="B68" s="45" t="s">
        <v>457</v>
      </c>
      <c r="C68" s="46"/>
      <c r="D68" s="46"/>
      <c r="E68" s="51"/>
      <c r="F68" s="47"/>
      <c r="G68" s="47"/>
      <c r="H68" s="330"/>
      <c r="I68" s="47"/>
      <c r="J68" s="452"/>
    </row>
    <row r="69" spans="1:10" x14ac:dyDescent="0.25">
      <c r="A69" s="9"/>
      <c r="B69" s="45" t="s">
        <v>299</v>
      </c>
      <c r="C69" s="46"/>
      <c r="D69" s="46"/>
      <c r="E69" s="46" t="s">
        <v>69</v>
      </c>
      <c r="F69" s="47">
        <f>ROUND($F$10*5,2)</f>
        <v>3715</v>
      </c>
      <c r="G69" s="47">
        <f>ROUND(D69*F69,2)</f>
        <v>0</v>
      </c>
      <c r="H69" s="330">
        <f>$H$10*5</f>
        <v>4830</v>
      </c>
      <c r="I69" s="47">
        <f>D69*H69</f>
        <v>0</v>
      </c>
      <c r="J69" s="452" t="s">
        <v>499</v>
      </c>
    </row>
    <row r="70" spans="1:10" x14ac:dyDescent="0.25">
      <c r="A70" s="9"/>
      <c r="B70" s="45" t="s">
        <v>300</v>
      </c>
      <c r="C70" s="46"/>
      <c r="D70" s="46"/>
      <c r="E70" s="46" t="s">
        <v>69</v>
      </c>
      <c r="F70" s="47">
        <f>ROUND($F$10*2.5,2)</f>
        <v>1857.5</v>
      </c>
      <c r="G70" s="47">
        <f>ROUND(D70*F70,2)</f>
        <v>0</v>
      </c>
      <c r="H70" s="330">
        <f>$H$10*2.5</f>
        <v>2415</v>
      </c>
      <c r="I70" s="47">
        <f>D70*H70</f>
        <v>0</v>
      </c>
      <c r="J70" s="452"/>
    </row>
    <row r="71" spans="1:10" x14ac:dyDescent="0.25">
      <c r="A71" s="9"/>
      <c r="B71" s="45" t="s">
        <v>458</v>
      </c>
      <c r="C71" s="46"/>
      <c r="D71" s="46"/>
      <c r="E71" s="46"/>
      <c r="F71" s="47"/>
      <c r="G71" s="47"/>
      <c r="H71" s="330"/>
      <c r="I71" s="47"/>
      <c r="J71" s="452"/>
    </row>
    <row r="72" spans="1:10" x14ac:dyDescent="0.25">
      <c r="A72" s="9"/>
      <c r="B72" s="45" t="s">
        <v>299</v>
      </c>
      <c r="C72" s="46"/>
      <c r="D72" s="46"/>
      <c r="E72" s="46" t="s">
        <v>69</v>
      </c>
      <c r="F72" s="47">
        <f>ROUND($F$10*2.5,2)</f>
        <v>1857.5</v>
      </c>
      <c r="G72" s="47">
        <f>ROUND(D72*F72,2)</f>
        <v>0</v>
      </c>
      <c r="H72" s="330">
        <f>$H$10*2.5</f>
        <v>2415</v>
      </c>
      <c r="I72" s="47">
        <f>D72*H72</f>
        <v>0</v>
      </c>
      <c r="J72" s="452"/>
    </row>
    <row r="73" spans="1:10" x14ac:dyDescent="0.25">
      <c r="A73" s="9"/>
      <c r="B73" s="45" t="s">
        <v>300</v>
      </c>
      <c r="C73" s="46"/>
      <c r="D73" s="46"/>
      <c r="E73" s="46" t="s">
        <v>69</v>
      </c>
      <c r="F73" s="47">
        <f>ROUND($F$10*1.25,2)</f>
        <v>928.75</v>
      </c>
      <c r="G73" s="47">
        <f>ROUND(D73*F73,2)</f>
        <v>0</v>
      </c>
      <c r="H73" s="330">
        <f>$H$10*1.25</f>
        <v>1207.5</v>
      </c>
      <c r="I73" s="47">
        <f>D73*H73</f>
        <v>0</v>
      </c>
      <c r="J73" s="452"/>
    </row>
    <row r="74" spans="1:10" x14ac:dyDescent="0.25">
      <c r="A74" s="9"/>
      <c r="B74" s="51" t="s">
        <v>274</v>
      </c>
      <c r="C74" s="46"/>
      <c r="D74" s="46"/>
      <c r="E74" s="46"/>
      <c r="F74" s="47"/>
      <c r="G74" s="47"/>
      <c r="H74" s="330"/>
      <c r="I74" s="47"/>
      <c r="J74" s="452"/>
    </row>
    <row r="75" spans="1:10" x14ac:dyDescent="0.25">
      <c r="A75" s="9"/>
      <c r="B75" s="45" t="s">
        <v>457</v>
      </c>
      <c r="C75" s="46"/>
      <c r="D75" s="46"/>
      <c r="E75" s="46"/>
      <c r="F75" s="47"/>
      <c r="G75" s="47"/>
      <c r="H75" s="330"/>
      <c r="I75" s="47"/>
      <c r="J75" s="452"/>
    </row>
    <row r="76" spans="1:10" x14ac:dyDescent="0.25">
      <c r="A76" s="9"/>
      <c r="B76" s="45" t="s">
        <v>299</v>
      </c>
      <c r="C76" s="46"/>
      <c r="D76" s="46"/>
      <c r="E76" s="46" t="s">
        <v>69</v>
      </c>
      <c r="F76" s="47">
        <f>ROUND($F$10*6,2)</f>
        <v>4458</v>
      </c>
      <c r="G76" s="47">
        <f>ROUND(D76*F76,2)</f>
        <v>0</v>
      </c>
      <c r="H76" s="330">
        <f>$H$10*6</f>
        <v>5796</v>
      </c>
      <c r="I76" s="47">
        <f>D76*H76</f>
        <v>0</v>
      </c>
      <c r="J76" s="452" t="s">
        <v>499</v>
      </c>
    </row>
    <row r="77" spans="1:10" x14ac:dyDescent="0.25">
      <c r="A77" s="9"/>
      <c r="B77" s="45" t="s">
        <v>300</v>
      </c>
      <c r="C77" s="46"/>
      <c r="D77" s="46"/>
      <c r="E77" s="46" t="s">
        <v>69</v>
      </c>
      <c r="F77" s="47">
        <f>ROUND($F$10*3,2)</f>
        <v>2229</v>
      </c>
      <c r="G77" s="47">
        <f>ROUND(D77*F77,2)</f>
        <v>0</v>
      </c>
      <c r="H77" s="330">
        <f>$H$10*3</f>
        <v>2898</v>
      </c>
      <c r="I77" s="47">
        <f>D77*H77</f>
        <v>0</v>
      </c>
      <c r="J77" s="452"/>
    </row>
    <row r="78" spans="1:10" x14ac:dyDescent="0.25">
      <c r="A78" s="9"/>
      <c r="B78" s="45" t="s">
        <v>458</v>
      </c>
      <c r="C78" s="46"/>
      <c r="D78" s="46"/>
      <c r="E78" s="51"/>
      <c r="F78" s="47"/>
      <c r="G78" s="47"/>
      <c r="H78" s="330"/>
      <c r="I78" s="47"/>
      <c r="J78" s="452"/>
    </row>
    <row r="79" spans="1:10" x14ac:dyDescent="0.25">
      <c r="A79" s="9"/>
      <c r="B79" s="45" t="s">
        <v>271</v>
      </c>
      <c r="C79" s="46"/>
      <c r="D79" s="46"/>
      <c r="E79" s="46" t="s">
        <v>69</v>
      </c>
      <c r="F79" s="47">
        <f>ROUND($F$10*3,2)</f>
        <v>2229</v>
      </c>
      <c r="G79" s="47">
        <f>ROUND(D79*F79,2)</f>
        <v>0</v>
      </c>
      <c r="H79" s="330">
        <f>$H$10*3</f>
        <v>2898</v>
      </c>
      <c r="I79" s="47">
        <f>D79*H79</f>
        <v>0</v>
      </c>
      <c r="J79" s="452"/>
    </row>
    <row r="80" spans="1:10" x14ac:dyDescent="0.25">
      <c r="A80" s="9"/>
      <c r="B80" s="45" t="s">
        <v>272</v>
      </c>
      <c r="C80" s="46"/>
      <c r="D80" s="46"/>
      <c r="E80" s="46" t="s">
        <v>69</v>
      </c>
      <c r="F80" s="47">
        <f>ROUND($F$10*1.5,2)</f>
        <v>1114.5</v>
      </c>
      <c r="G80" s="47">
        <f>ROUND(D80*F80,2)</f>
        <v>0</v>
      </c>
      <c r="H80" s="330">
        <f>$H$10*1.5</f>
        <v>1449</v>
      </c>
      <c r="I80" s="47">
        <f>D80*H80</f>
        <v>0</v>
      </c>
      <c r="J80" s="452"/>
    </row>
    <row r="81" spans="1:94" x14ac:dyDescent="0.25">
      <c r="A81" s="9"/>
      <c r="B81" s="51" t="s">
        <v>406</v>
      </c>
      <c r="C81" s="46"/>
      <c r="D81" s="46"/>
      <c r="E81" s="51"/>
      <c r="F81" s="47"/>
      <c r="G81" s="47"/>
      <c r="H81" s="330"/>
      <c r="I81" s="47"/>
      <c r="J81" s="452"/>
    </row>
    <row r="82" spans="1:94" x14ac:dyDescent="0.25">
      <c r="A82" s="9"/>
      <c r="B82" s="45" t="s">
        <v>457</v>
      </c>
      <c r="C82" s="46"/>
      <c r="D82" s="46"/>
      <c r="E82" s="51"/>
      <c r="F82" s="47"/>
      <c r="G82" s="47"/>
      <c r="H82" s="330"/>
      <c r="I82" s="47"/>
      <c r="J82" s="452"/>
    </row>
    <row r="83" spans="1:94" x14ac:dyDescent="0.25">
      <c r="A83" s="9"/>
      <c r="B83" s="45" t="s">
        <v>271</v>
      </c>
      <c r="C83" s="46"/>
      <c r="D83" s="46"/>
      <c r="E83" s="46" t="s">
        <v>69</v>
      </c>
      <c r="F83" s="47">
        <f>ROUND($F$10*4,2)</f>
        <v>2972</v>
      </c>
      <c r="G83" s="47">
        <f>ROUND(D83*F83,2)</f>
        <v>0</v>
      </c>
      <c r="H83" s="330">
        <f>$H$10*4</f>
        <v>3864</v>
      </c>
      <c r="I83" s="47">
        <f>D83*H83</f>
        <v>0</v>
      </c>
      <c r="J83" s="452" t="s">
        <v>499</v>
      </c>
    </row>
    <row r="84" spans="1:94" x14ac:dyDescent="0.25">
      <c r="A84" s="9"/>
      <c r="B84" s="45" t="s">
        <v>272</v>
      </c>
      <c r="C84" s="46"/>
      <c r="D84" s="46"/>
      <c r="E84" s="46" t="s">
        <v>69</v>
      </c>
      <c r="F84" s="47">
        <f>ROUND($F$10*2,2)</f>
        <v>1486</v>
      </c>
      <c r="G84" s="47">
        <f>ROUND(D84*F84,2)</f>
        <v>0</v>
      </c>
      <c r="H84" s="330">
        <f>$H$10*2</f>
        <v>1932</v>
      </c>
      <c r="I84" s="47">
        <f>D84*H84</f>
        <v>0</v>
      </c>
      <c r="J84" s="452"/>
    </row>
    <row r="85" spans="1:94" x14ac:dyDescent="0.25">
      <c r="A85" s="9"/>
      <c r="B85" s="45" t="s">
        <v>458</v>
      </c>
      <c r="C85" s="46"/>
      <c r="D85" s="46"/>
      <c r="E85" s="51"/>
      <c r="F85" s="47"/>
      <c r="G85" s="47"/>
      <c r="H85" s="330"/>
      <c r="I85" s="47"/>
      <c r="J85" s="452"/>
    </row>
    <row r="86" spans="1:94" x14ac:dyDescent="0.25">
      <c r="A86" s="9"/>
      <c r="B86" s="45" t="s">
        <v>271</v>
      </c>
      <c r="C86" s="46"/>
      <c r="D86" s="46"/>
      <c r="E86" s="46" t="s">
        <v>69</v>
      </c>
      <c r="F86" s="47">
        <f>$F$10*2</f>
        <v>1486</v>
      </c>
      <c r="G86" s="47">
        <f>ROUND(D86*F86,2)</f>
        <v>0</v>
      </c>
      <c r="H86" s="330">
        <f>$H$10*2</f>
        <v>1932</v>
      </c>
      <c r="I86" s="47">
        <f>D86*H86</f>
        <v>0</v>
      </c>
      <c r="J86" s="452"/>
    </row>
    <row r="87" spans="1:94" x14ac:dyDescent="0.25">
      <c r="A87" s="9"/>
      <c r="B87" s="45" t="s">
        <v>272</v>
      </c>
      <c r="C87" s="46"/>
      <c r="D87" s="46"/>
      <c r="E87" s="46" t="s">
        <v>69</v>
      </c>
      <c r="F87" s="47">
        <f>$F$10*1</f>
        <v>743</v>
      </c>
      <c r="G87" s="47">
        <f>ROUND(D87*F87,2)</f>
        <v>0</v>
      </c>
      <c r="H87" s="330">
        <f>$H$10*1</f>
        <v>966</v>
      </c>
      <c r="I87" s="47">
        <f>D87*H87</f>
        <v>0</v>
      </c>
      <c r="J87" s="452"/>
    </row>
    <row r="88" spans="1:94" x14ac:dyDescent="0.25">
      <c r="A88" s="9"/>
      <c r="B88" s="51" t="s">
        <v>275</v>
      </c>
      <c r="C88" s="46"/>
      <c r="D88" s="46"/>
      <c r="E88" s="46"/>
      <c r="F88" s="47"/>
      <c r="G88" s="47"/>
      <c r="H88" s="330"/>
      <c r="I88" s="47"/>
      <c r="J88" s="452"/>
    </row>
    <row r="89" spans="1:94" x14ac:dyDescent="0.25">
      <c r="A89" s="9"/>
      <c r="B89" s="45" t="s">
        <v>457</v>
      </c>
      <c r="C89" s="46"/>
      <c r="D89" s="46"/>
      <c r="E89" s="46"/>
      <c r="F89" s="47"/>
      <c r="G89" s="47"/>
      <c r="H89" s="330"/>
      <c r="I89" s="47"/>
      <c r="J89" s="452"/>
    </row>
    <row r="90" spans="1:94" x14ac:dyDescent="0.25">
      <c r="A90" s="9"/>
      <c r="B90" s="45" t="s">
        <v>271</v>
      </c>
      <c r="C90" s="46"/>
      <c r="D90" s="46"/>
      <c r="E90" s="46" t="s">
        <v>69</v>
      </c>
      <c r="F90" s="47">
        <f>ROUND($F$10*5.5,2)</f>
        <v>4086.5</v>
      </c>
      <c r="G90" s="47">
        <f>ROUND(D90*F90,2)</f>
        <v>0</v>
      </c>
      <c r="H90" s="330">
        <f>$H$10*5.5</f>
        <v>5313</v>
      </c>
      <c r="I90" s="47">
        <f>D90*H90</f>
        <v>0</v>
      </c>
      <c r="J90" s="452" t="s">
        <v>499</v>
      </c>
    </row>
    <row r="91" spans="1:94" x14ac:dyDescent="0.25">
      <c r="A91" s="9"/>
      <c r="B91" s="45" t="s">
        <v>272</v>
      </c>
      <c r="C91" s="46"/>
      <c r="D91" s="46"/>
      <c r="E91" s="46" t="s">
        <v>69</v>
      </c>
      <c r="F91" s="47">
        <f>ROUND($F$10*2.75,2)</f>
        <v>2043.25</v>
      </c>
      <c r="G91" s="47">
        <f>ROUND(D91*F91,2)</f>
        <v>0</v>
      </c>
      <c r="H91" s="330">
        <f>$H$10*2.75</f>
        <v>2656.5</v>
      </c>
      <c r="I91" s="47">
        <f>D91*H91</f>
        <v>0</v>
      </c>
      <c r="J91" s="452"/>
    </row>
    <row r="92" spans="1:94" x14ac:dyDescent="0.25">
      <c r="A92" s="9"/>
      <c r="B92" s="45" t="s">
        <v>458</v>
      </c>
      <c r="C92" s="46"/>
      <c r="D92" s="46"/>
      <c r="E92" s="46"/>
      <c r="F92" s="47"/>
      <c r="G92" s="47"/>
      <c r="H92" s="330"/>
      <c r="I92" s="47"/>
      <c r="J92" s="452"/>
    </row>
    <row r="93" spans="1:94" x14ac:dyDescent="0.25">
      <c r="A93" s="9"/>
      <c r="B93" s="45" t="s">
        <v>271</v>
      </c>
      <c r="C93" s="46"/>
      <c r="D93" s="46"/>
      <c r="E93" s="46" t="s">
        <v>69</v>
      </c>
      <c r="F93" s="47">
        <f>ROUND($F$10*2.75,2)</f>
        <v>2043.25</v>
      </c>
      <c r="G93" s="47">
        <f>ROUND(D93*F93,2)</f>
        <v>0</v>
      </c>
      <c r="H93" s="330">
        <f>$H$10*2.75</f>
        <v>2656.5</v>
      </c>
      <c r="I93" s="47">
        <f>D93*H93</f>
        <v>0</v>
      </c>
      <c r="J93" s="452"/>
    </row>
    <row r="94" spans="1:94" x14ac:dyDescent="0.25">
      <c r="A94" s="9"/>
      <c r="B94" s="48" t="s">
        <v>272</v>
      </c>
      <c r="C94" s="49"/>
      <c r="D94" s="49"/>
      <c r="E94" s="49" t="s">
        <v>69</v>
      </c>
      <c r="F94" s="50">
        <f>ROUND($F$10*1.4,2)</f>
        <v>1040.2</v>
      </c>
      <c r="G94" s="50">
        <f>ROUND(D94*F94,2)</f>
        <v>0</v>
      </c>
      <c r="H94" s="331">
        <f>$H$10*1.4</f>
        <v>1352.3999999999999</v>
      </c>
      <c r="I94" s="50">
        <f>D94*H94</f>
        <v>0</v>
      </c>
      <c r="J94" s="102"/>
    </row>
    <row r="95" spans="1:94" s="12" customFormat="1" x14ac:dyDescent="0.25">
      <c r="A95" s="322"/>
      <c r="B95" s="119" t="s">
        <v>313</v>
      </c>
      <c r="C95" s="323"/>
      <c r="D95" s="324"/>
      <c r="E95" s="324"/>
      <c r="F95" s="35"/>
      <c r="G95" s="32">
        <f>SUM(G53:G94)</f>
        <v>0</v>
      </c>
      <c r="H95" s="38"/>
      <c r="I95" s="32">
        <f>SUM(I53:I94)</f>
        <v>0</v>
      </c>
      <c r="J95" s="325"/>
    </row>
    <row r="96" spans="1:94" s="27" customFormat="1" x14ac:dyDescent="0.25">
      <c r="A96" s="341"/>
      <c r="B96" s="33"/>
      <c r="C96" s="114"/>
      <c r="D96" s="114"/>
      <c r="E96" s="114"/>
      <c r="F96" s="115"/>
      <c r="G96" s="315"/>
      <c r="H96" s="115"/>
      <c r="I96" s="115"/>
      <c r="J96" s="414"/>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row>
    <row r="97" spans="1:94" s="28" customFormat="1" ht="25.5" x14ac:dyDescent="0.25">
      <c r="A97" s="457">
        <v>4</v>
      </c>
      <c r="B97" s="377" t="s">
        <v>515</v>
      </c>
      <c r="C97" s="114"/>
      <c r="D97" s="191"/>
      <c r="E97" s="114"/>
      <c r="F97" s="25"/>
      <c r="G97" s="25"/>
      <c r="H97" s="315"/>
      <c r="I97" s="115"/>
      <c r="J97" s="103"/>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row>
    <row r="98" spans="1:94" s="27" customFormat="1" ht="25.5" x14ac:dyDescent="0.25">
      <c r="A98" s="9"/>
      <c r="B98" s="233" t="s">
        <v>524</v>
      </c>
      <c r="C98" s="114">
        <v>3.9</v>
      </c>
      <c r="D98" s="22"/>
      <c r="E98" s="114" t="s">
        <v>119</v>
      </c>
      <c r="F98" s="25">
        <f>ROUND($F$10*5.5,2)</f>
        <v>4086.5</v>
      </c>
      <c r="G98" s="25">
        <f>ROUND(D98*F98,2)</f>
        <v>0</v>
      </c>
      <c r="H98" s="315">
        <f>$H$10*5.5</f>
        <v>5313</v>
      </c>
      <c r="I98" s="115">
        <f>D98*H98</f>
        <v>0</v>
      </c>
      <c r="J98" s="120" t="s">
        <v>554</v>
      </c>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row>
    <row r="99" spans="1:94" x14ac:dyDescent="0.25">
      <c r="A99" s="9"/>
      <c r="B99" s="366" t="s">
        <v>234</v>
      </c>
      <c r="C99" s="171" t="s">
        <v>428</v>
      </c>
      <c r="D99" s="61"/>
      <c r="E99" s="43"/>
      <c r="F99" s="56"/>
      <c r="G99" s="44"/>
      <c r="H99" s="56"/>
      <c r="I99" s="44"/>
      <c r="J99" s="107"/>
      <c r="L99" s="30"/>
    </row>
    <row r="100" spans="1:94" ht="25.5" x14ac:dyDescent="0.25">
      <c r="A100" s="9"/>
      <c r="B100" s="62" t="s">
        <v>459</v>
      </c>
      <c r="C100" s="46" t="s">
        <v>82</v>
      </c>
      <c r="D100" s="64"/>
      <c r="E100" s="46" t="s">
        <v>69</v>
      </c>
      <c r="F100" s="58">
        <f>ROUND($F$10*8,2)</f>
        <v>5944</v>
      </c>
      <c r="G100" s="130">
        <f>ROUND(D100*F100,2)</f>
        <v>0</v>
      </c>
      <c r="H100" s="58">
        <f>$H$10*8</f>
        <v>7728</v>
      </c>
      <c r="I100" s="47">
        <f>D100*H100</f>
        <v>0</v>
      </c>
      <c r="J100" s="452" t="s">
        <v>191</v>
      </c>
      <c r="L100" s="30"/>
    </row>
    <row r="101" spans="1:94" x14ac:dyDescent="0.25">
      <c r="A101" s="9"/>
      <c r="B101" s="62" t="s">
        <v>460</v>
      </c>
      <c r="C101" s="46" t="s">
        <v>83</v>
      </c>
      <c r="D101" s="64"/>
      <c r="E101" s="46"/>
      <c r="F101" s="58"/>
      <c r="G101" s="47"/>
      <c r="H101" s="58"/>
      <c r="I101" s="47"/>
      <c r="J101" s="452" t="s">
        <v>430</v>
      </c>
      <c r="L101" s="30"/>
    </row>
    <row r="102" spans="1:94" ht="25.5" x14ac:dyDescent="0.25">
      <c r="A102" s="9"/>
      <c r="B102" s="372" t="s">
        <v>461</v>
      </c>
      <c r="C102" s="306" t="s">
        <v>28</v>
      </c>
      <c r="D102" s="349"/>
      <c r="E102" s="306" t="s">
        <v>60</v>
      </c>
      <c r="F102" s="82">
        <v>600</v>
      </c>
      <c r="G102" s="130">
        <f>ROUND(D102*F102,2)</f>
        <v>0</v>
      </c>
      <c r="H102" s="82">
        <v>600</v>
      </c>
      <c r="I102" s="130">
        <f>D102*H102</f>
        <v>0</v>
      </c>
      <c r="J102" s="326" t="s">
        <v>500</v>
      </c>
      <c r="K102" s="472"/>
      <c r="L102" s="31"/>
    </row>
    <row r="103" spans="1:94" s="16" customFormat="1" ht="38.25" x14ac:dyDescent="0.25">
      <c r="A103" s="9"/>
      <c r="B103" s="72" t="s">
        <v>462</v>
      </c>
      <c r="C103" s="46" t="s">
        <v>29</v>
      </c>
      <c r="D103" s="286"/>
      <c r="E103" s="46" t="s">
        <v>106</v>
      </c>
      <c r="F103" s="58">
        <v>300</v>
      </c>
      <c r="G103" s="47">
        <f>ROUND(D103*F103,2)</f>
        <v>0</v>
      </c>
      <c r="H103" s="58">
        <v>300</v>
      </c>
      <c r="I103" s="47">
        <f>D103*H103</f>
        <v>0</v>
      </c>
      <c r="J103" s="327" t="s">
        <v>431</v>
      </c>
      <c r="K103" s="472"/>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row>
    <row r="104" spans="1:94" x14ac:dyDescent="0.25">
      <c r="A104" s="9"/>
      <c r="B104" s="301" t="s">
        <v>463</v>
      </c>
      <c r="C104" s="49" t="s">
        <v>354</v>
      </c>
      <c r="D104" s="287"/>
      <c r="E104" s="49" t="s">
        <v>69</v>
      </c>
      <c r="F104" s="60">
        <f>ROUND($F$10*8,2)</f>
        <v>5944</v>
      </c>
      <c r="G104" s="50">
        <f>ROUND(D104*F104,2)</f>
        <v>0</v>
      </c>
      <c r="H104" s="60">
        <f>$H$10*8</f>
        <v>7728</v>
      </c>
      <c r="I104" s="50">
        <f>D104*H104</f>
        <v>0</v>
      </c>
      <c r="J104" s="328" t="s">
        <v>449</v>
      </c>
      <c r="K104" s="451"/>
    </row>
    <row r="105" spans="1:94" s="27" customFormat="1" ht="25.5" x14ac:dyDescent="0.25">
      <c r="A105" s="9"/>
      <c r="B105" s="319" t="s">
        <v>209</v>
      </c>
      <c r="C105" s="61">
        <v>4.12</v>
      </c>
      <c r="D105" s="171"/>
      <c r="E105" s="61"/>
      <c r="F105" s="44"/>
      <c r="G105" s="332"/>
      <c r="H105" s="332"/>
      <c r="I105" s="56"/>
      <c r="J105" s="99" t="s">
        <v>501</v>
      </c>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row>
    <row r="106" spans="1:94" x14ac:dyDescent="0.25">
      <c r="A106" s="9"/>
      <c r="B106" s="352" t="s">
        <v>539</v>
      </c>
      <c r="C106" s="313">
        <v>4.12</v>
      </c>
      <c r="D106" s="423"/>
      <c r="E106" s="313" t="s">
        <v>69</v>
      </c>
      <c r="F106" s="130">
        <f>ROUND($F$10*1.75,2)</f>
        <v>1300.25</v>
      </c>
      <c r="G106" s="333">
        <f>ROUND(D106*F106,2)</f>
        <v>0</v>
      </c>
      <c r="H106" s="333">
        <f>$H$10*2.75</f>
        <v>2656.5</v>
      </c>
      <c r="I106" s="82">
        <f>D106*H106</f>
        <v>0</v>
      </c>
      <c r="J106" s="450" t="s">
        <v>322</v>
      </c>
    </row>
    <row r="107" spans="1:94" x14ac:dyDescent="0.25">
      <c r="A107" s="9"/>
      <c r="B107" s="77" t="s">
        <v>447</v>
      </c>
      <c r="C107" s="64">
        <v>4.12</v>
      </c>
      <c r="D107" s="172"/>
      <c r="E107" s="64" t="s">
        <v>69</v>
      </c>
      <c r="F107" s="47">
        <f>ROUND($F$10*3,2)</f>
        <v>2229</v>
      </c>
      <c r="G107" s="330">
        <f>ROUND(D107*F107,2)</f>
        <v>0</v>
      </c>
      <c r="H107" s="330">
        <f>$H$10*4.75</f>
        <v>4588.5</v>
      </c>
      <c r="I107" s="58">
        <f t="shared" ref="I107" si="6">D107*H107</f>
        <v>0</v>
      </c>
      <c r="J107" s="452" t="s">
        <v>429</v>
      </c>
    </row>
    <row r="108" spans="1:94" x14ac:dyDescent="0.25">
      <c r="A108" s="9"/>
      <c r="B108" s="378" t="s">
        <v>210</v>
      </c>
      <c r="C108" s="43"/>
      <c r="D108" s="171"/>
      <c r="E108" s="43"/>
      <c r="F108" s="44"/>
      <c r="G108" s="44"/>
      <c r="H108" s="44"/>
      <c r="I108" s="332"/>
      <c r="J108" s="351"/>
    </row>
    <row r="109" spans="1:94" x14ac:dyDescent="0.25">
      <c r="A109" s="9"/>
      <c r="B109" s="372" t="s">
        <v>464</v>
      </c>
      <c r="C109" s="306">
        <v>4.13</v>
      </c>
      <c r="D109" s="423"/>
      <c r="E109" s="306" t="s">
        <v>443</v>
      </c>
      <c r="F109" s="130">
        <f>ROUND($F$10/7,2)</f>
        <v>106.14</v>
      </c>
      <c r="G109" s="333">
        <f>ROUND(D109*F109,2)</f>
        <v>0</v>
      </c>
      <c r="H109" s="130">
        <f>ROUND($H$10/7,2)</f>
        <v>138</v>
      </c>
      <c r="I109" s="82">
        <f>D109*H109</f>
        <v>0</v>
      </c>
      <c r="J109" s="452" t="s">
        <v>559</v>
      </c>
    </row>
    <row r="110" spans="1:94" x14ac:dyDescent="0.25">
      <c r="A110" s="9"/>
      <c r="B110" s="201" t="s">
        <v>465</v>
      </c>
      <c r="C110" s="81">
        <v>4.13</v>
      </c>
      <c r="D110" s="223"/>
      <c r="E110" s="81" t="s">
        <v>443</v>
      </c>
      <c r="F110" s="10">
        <f>ROUND($F$10/4,2)</f>
        <v>185.75</v>
      </c>
      <c r="G110" s="10">
        <f>ROUND(D110*F110,2)</f>
        <v>0</v>
      </c>
      <c r="H110" s="10">
        <f>ROUND($H$10/4,2)</f>
        <v>241.5</v>
      </c>
      <c r="I110" s="58">
        <f t="shared" ref="I110" si="7">D110*H110</f>
        <v>0</v>
      </c>
      <c r="J110" s="102" t="s">
        <v>560</v>
      </c>
    </row>
    <row r="111" spans="1:94" s="12" customFormat="1" x14ac:dyDescent="0.25">
      <c r="A111" s="322"/>
      <c r="B111" s="122" t="s">
        <v>310</v>
      </c>
      <c r="C111" s="340"/>
      <c r="D111" s="341"/>
      <c r="E111" s="324"/>
      <c r="F111" s="38"/>
      <c r="G111" s="32">
        <f>SUM(G98:G110)</f>
        <v>0</v>
      </c>
      <c r="H111" s="38"/>
      <c r="I111" s="32">
        <f>SUM(I98:I110)</f>
        <v>0</v>
      </c>
      <c r="J111" s="342"/>
    </row>
    <row r="112" spans="1:94" x14ac:dyDescent="0.25">
      <c r="A112" s="341"/>
      <c r="B112" s="28"/>
      <c r="C112" s="114"/>
      <c r="D112" s="347"/>
      <c r="E112" s="114"/>
      <c r="F112" s="115"/>
      <c r="G112" s="315"/>
      <c r="H112" s="269"/>
      <c r="I112" s="115"/>
      <c r="J112" s="415"/>
    </row>
    <row r="113" spans="1:11" x14ac:dyDescent="0.25">
      <c r="A113" s="457">
        <v>5</v>
      </c>
      <c r="B113" s="346" t="s">
        <v>90</v>
      </c>
      <c r="C113" s="22"/>
      <c r="D113" s="347"/>
      <c r="E113" s="22"/>
      <c r="F113" s="115"/>
      <c r="G113" s="25"/>
      <c r="H113" s="25"/>
      <c r="I113" s="25"/>
      <c r="J113" s="25"/>
      <c r="K113" s="451"/>
    </row>
    <row r="114" spans="1:11" ht="63.75" x14ac:dyDescent="0.25">
      <c r="A114" s="9"/>
      <c r="B114" s="378" t="s">
        <v>263</v>
      </c>
      <c r="C114" s="43"/>
      <c r="D114" s="55"/>
      <c r="E114" s="43" t="s">
        <v>262</v>
      </c>
      <c r="F114" s="56"/>
      <c r="G114" s="44"/>
      <c r="H114" s="56"/>
      <c r="I114" s="44"/>
      <c r="J114" s="351" t="s">
        <v>446</v>
      </c>
      <c r="K114" s="451"/>
    </row>
    <row r="115" spans="1:11" x14ac:dyDescent="0.25">
      <c r="A115" s="9"/>
      <c r="B115" s="372" t="s">
        <v>468</v>
      </c>
      <c r="C115" s="306">
        <v>11.1</v>
      </c>
      <c r="D115" s="349"/>
      <c r="E115" s="306"/>
      <c r="F115" s="82"/>
      <c r="G115" s="130"/>
      <c r="H115" s="82"/>
      <c r="I115" s="130"/>
      <c r="J115" s="326"/>
      <c r="K115" s="451"/>
    </row>
    <row r="116" spans="1:11" x14ac:dyDescent="0.25">
      <c r="A116" s="9"/>
      <c r="B116" s="72" t="s">
        <v>296</v>
      </c>
      <c r="C116" s="46"/>
      <c r="D116" s="286"/>
      <c r="E116" s="46" t="s">
        <v>264</v>
      </c>
      <c r="F116" s="402"/>
      <c r="G116" s="47">
        <f>D116*F116</f>
        <v>0</v>
      </c>
      <c r="H116" s="58">
        <f>0.5*(5*$D$114*10000)*(2*1000+$H$10/1.6)</f>
        <v>0</v>
      </c>
      <c r="I116" s="47">
        <f t="shared" ref="I116:I126" si="8">D116*H116</f>
        <v>0</v>
      </c>
      <c r="J116" s="327"/>
      <c r="K116" s="451"/>
    </row>
    <row r="117" spans="1:11" x14ac:dyDescent="0.25">
      <c r="A117" s="9"/>
      <c r="B117" s="72" t="s">
        <v>91</v>
      </c>
      <c r="C117" s="46"/>
      <c r="D117" s="286"/>
      <c r="E117" s="46" t="s">
        <v>264</v>
      </c>
      <c r="F117" s="58"/>
      <c r="G117" s="47">
        <f>D117*F117</f>
        <v>0</v>
      </c>
      <c r="H117" s="58">
        <f>(24*$D$114)*0.5</f>
        <v>0</v>
      </c>
      <c r="I117" s="47">
        <f t="shared" si="8"/>
        <v>0</v>
      </c>
      <c r="J117" s="327"/>
      <c r="K117" s="451"/>
    </row>
    <row r="118" spans="1:11" x14ac:dyDescent="0.25">
      <c r="A118" s="9"/>
      <c r="B118" s="72" t="s">
        <v>469</v>
      </c>
      <c r="C118" s="46">
        <v>11.1</v>
      </c>
      <c r="D118" s="286"/>
      <c r="E118" s="46"/>
      <c r="F118" s="58"/>
      <c r="G118" s="47"/>
      <c r="H118" s="58"/>
      <c r="I118" s="47"/>
      <c r="J118" s="327"/>
      <c r="K118" s="451"/>
    </row>
    <row r="119" spans="1:11" x14ac:dyDescent="0.25">
      <c r="A119" s="9"/>
      <c r="B119" s="72" t="s">
        <v>296</v>
      </c>
      <c r="C119" s="46"/>
      <c r="D119" s="286"/>
      <c r="E119" s="46" t="s">
        <v>264</v>
      </c>
      <c r="F119" s="402"/>
      <c r="G119" s="47">
        <f>D119*F119</f>
        <v>0</v>
      </c>
      <c r="H119" s="58">
        <v>0</v>
      </c>
      <c r="I119" s="47">
        <f t="shared" si="8"/>
        <v>0</v>
      </c>
      <c r="J119" s="327"/>
      <c r="K119" s="451"/>
    </row>
    <row r="120" spans="1:11" x14ac:dyDescent="0.25">
      <c r="A120" s="9"/>
      <c r="B120" s="72" t="s">
        <v>91</v>
      </c>
      <c r="C120" s="46"/>
      <c r="D120" s="286"/>
      <c r="E120" s="46" t="s">
        <v>264</v>
      </c>
      <c r="F120" s="58"/>
      <c r="G120" s="47">
        <f>D120*F120</f>
        <v>0</v>
      </c>
      <c r="H120" s="58">
        <f>(24*$D$114)</f>
        <v>0</v>
      </c>
      <c r="I120" s="47">
        <f t="shared" si="8"/>
        <v>0</v>
      </c>
      <c r="J120" s="327"/>
      <c r="K120" s="451"/>
    </row>
    <row r="121" spans="1:11" x14ac:dyDescent="0.25">
      <c r="A121" s="9"/>
      <c r="B121" s="72" t="s">
        <v>470</v>
      </c>
      <c r="C121" s="46">
        <v>11.1</v>
      </c>
      <c r="D121" s="286"/>
      <c r="E121" s="46"/>
      <c r="F121" s="58"/>
      <c r="G121" s="47"/>
      <c r="H121" s="58"/>
      <c r="I121" s="47"/>
      <c r="J121" s="327"/>
      <c r="K121" s="451"/>
    </row>
    <row r="122" spans="1:11" x14ac:dyDescent="0.25">
      <c r="A122" s="9"/>
      <c r="B122" s="72" t="s">
        <v>296</v>
      </c>
      <c r="C122" s="46"/>
      <c r="D122" s="286"/>
      <c r="E122" s="46" t="s">
        <v>264</v>
      </c>
      <c r="F122" s="402"/>
      <c r="G122" s="47">
        <f>D122*F122</f>
        <v>0</v>
      </c>
      <c r="H122" s="58">
        <f>1.5*(5*$D$114*10000)*(2*1000+$H$10/1.6)</f>
        <v>0</v>
      </c>
      <c r="I122" s="47">
        <f t="shared" si="8"/>
        <v>0</v>
      </c>
      <c r="J122" s="327"/>
      <c r="K122" s="451"/>
    </row>
    <row r="123" spans="1:11" x14ac:dyDescent="0.25">
      <c r="A123" s="9"/>
      <c r="B123" s="72" t="s">
        <v>91</v>
      </c>
      <c r="C123" s="46"/>
      <c r="D123" s="286"/>
      <c r="E123" s="46" t="s">
        <v>264</v>
      </c>
      <c r="F123" s="58"/>
      <c r="G123" s="47">
        <f>D123*F123</f>
        <v>0</v>
      </c>
      <c r="H123" s="58">
        <f>(24*$D$114)*1.5</f>
        <v>0</v>
      </c>
      <c r="I123" s="47">
        <f t="shared" si="8"/>
        <v>0</v>
      </c>
      <c r="J123" s="327"/>
      <c r="K123" s="451"/>
    </row>
    <row r="124" spans="1:11" x14ac:dyDescent="0.25">
      <c r="A124" s="9"/>
      <c r="B124" s="72" t="s">
        <v>471</v>
      </c>
      <c r="C124" s="46">
        <v>11.1</v>
      </c>
      <c r="D124" s="286"/>
      <c r="E124" s="46"/>
      <c r="F124" s="58"/>
      <c r="G124" s="47"/>
      <c r="H124" s="58"/>
      <c r="I124" s="47"/>
      <c r="J124" s="327"/>
      <c r="K124" s="451"/>
    </row>
    <row r="125" spans="1:11" x14ac:dyDescent="0.25">
      <c r="A125" s="9"/>
      <c r="B125" s="72" t="s">
        <v>296</v>
      </c>
      <c r="C125" s="46"/>
      <c r="D125" s="286"/>
      <c r="E125" s="46" t="s">
        <v>264</v>
      </c>
      <c r="F125" s="402"/>
      <c r="G125" s="47">
        <f>D125*F125</f>
        <v>0</v>
      </c>
      <c r="H125" s="58">
        <f>2*(5*$D$114*10000)*(2*1000+$H$10/1.6)</f>
        <v>0</v>
      </c>
      <c r="I125" s="47">
        <f t="shared" si="8"/>
        <v>0</v>
      </c>
      <c r="J125" s="327"/>
      <c r="K125" s="451"/>
    </row>
    <row r="126" spans="1:11" x14ac:dyDescent="0.25">
      <c r="A126" s="9"/>
      <c r="B126" s="198" t="s">
        <v>91</v>
      </c>
      <c r="C126" s="80"/>
      <c r="D126" s="181"/>
      <c r="E126" s="80" t="s">
        <v>264</v>
      </c>
      <c r="F126" s="456"/>
      <c r="G126" s="10">
        <f>D126*F126</f>
        <v>0</v>
      </c>
      <c r="H126" s="456">
        <f>(24*$D$114)*2</f>
        <v>0</v>
      </c>
      <c r="I126" s="10">
        <f t="shared" si="8"/>
        <v>0</v>
      </c>
      <c r="J126" s="121"/>
      <c r="K126" s="451"/>
    </row>
    <row r="127" spans="1:11" s="12" customFormat="1" x14ac:dyDescent="0.25">
      <c r="A127" s="310"/>
      <c r="B127" s="180" t="s">
        <v>66</v>
      </c>
      <c r="C127" s="403"/>
      <c r="D127" s="457"/>
      <c r="E127" s="457"/>
      <c r="F127" s="404"/>
      <c r="G127" s="405">
        <f>SUM(G115:G126)</f>
        <v>0</v>
      </c>
      <c r="H127" s="406"/>
      <c r="I127" s="405">
        <f>SUM(I115:I126)</f>
        <v>0</v>
      </c>
      <c r="J127" s="407"/>
    </row>
    <row r="128" spans="1:11" x14ac:dyDescent="0.25">
      <c r="A128" s="9"/>
      <c r="B128" s="250" t="s">
        <v>297</v>
      </c>
      <c r="C128" s="22">
        <v>11.2</v>
      </c>
      <c r="D128" s="191"/>
      <c r="E128" s="251">
        <v>0.2</v>
      </c>
      <c r="F128" s="25"/>
      <c r="G128" s="25">
        <f>(G127+E128)/100</f>
        <v>2E-3</v>
      </c>
      <c r="H128" s="315"/>
      <c r="I128" s="25">
        <f>(I127+E128)/100</f>
        <v>2E-3</v>
      </c>
      <c r="J128" s="252"/>
      <c r="K128" s="451"/>
    </row>
    <row r="129" spans="1:94" ht="25.5" x14ac:dyDescent="0.25">
      <c r="A129" s="9"/>
      <c r="B129" s="122" t="s">
        <v>215</v>
      </c>
      <c r="C129" s="81">
        <v>12</v>
      </c>
      <c r="D129" s="202"/>
      <c r="E129" s="255" t="s">
        <v>407</v>
      </c>
      <c r="F129" s="10">
        <v>0</v>
      </c>
      <c r="G129" s="10">
        <f>ROUND(F129*1.25,2)</f>
        <v>0</v>
      </c>
      <c r="H129" s="449"/>
      <c r="I129" s="10">
        <f>H129*1.25</f>
        <v>0</v>
      </c>
      <c r="J129" s="121" t="s">
        <v>555</v>
      </c>
      <c r="K129" s="451"/>
    </row>
    <row r="130" spans="1:94" s="12" customFormat="1" x14ac:dyDescent="0.25">
      <c r="A130" s="322"/>
      <c r="B130" s="119" t="s">
        <v>392</v>
      </c>
      <c r="C130" s="323"/>
      <c r="D130" s="324"/>
      <c r="E130" s="324"/>
      <c r="F130" s="38"/>
      <c r="G130" s="32">
        <f>SUM(G113:G129)</f>
        <v>2E-3</v>
      </c>
      <c r="H130" s="38"/>
      <c r="I130" s="32">
        <f>SUM(I127:I129)</f>
        <v>2E-3</v>
      </c>
      <c r="J130" s="325"/>
    </row>
    <row r="131" spans="1:94" x14ac:dyDescent="0.25">
      <c r="A131" s="341"/>
      <c r="B131" s="28"/>
      <c r="C131" s="114"/>
      <c r="D131" s="347"/>
      <c r="E131" s="114"/>
      <c r="F131" s="115"/>
      <c r="G131" s="315"/>
      <c r="H131" s="269"/>
      <c r="I131" s="115"/>
      <c r="J131" s="415"/>
    </row>
    <row r="132" spans="1:94" ht="25.5" x14ac:dyDescent="0.25">
      <c r="A132" s="457">
        <v>6</v>
      </c>
      <c r="B132" s="256" t="s">
        <v>235</v>
      </c>
      <c r="C132" s="41"/>
      <c r="D132" s="348"/>
      <c r="E132" s="41"/>
      <c r="F132" s="123"/>
      <c r="G132" s="335"/>
      <c r="H132" s="335"/>
      <c r="I132" s="456"/>
      <c r="J132" s="108" t="s">
        <v>340</v>
      </c>
    </row>
    <row r="133" spans="1:94" x14ac:dyDescent="0.25">
      <c r="A133" s="310"/>
      <c r="B133" s="362" t="s">
        <v>516</v>
      </c>
      <c r="C133" s="61">
        <v>14.8</v>
      </c>
      <c r="D133" s="83"/>
      <c r="E133" s="61"/>
      <c r="F133" s="367"/>
      <c r="G133" s="332"/>
      <c r="H133" s="332"/>
      <c r="I133" s="56"/>
      <c r="J133" s="99" t="s">
        <v>329</v>
      </c>
    </row>
    <row r="134" spans="1:94" x14ac:dyDescent="0.25">
      <c r="A134" s="310"/>
      <c r="B134" s="316" t="s">
        <v>538</v>
      </c>
      <c r="C134" s="313" t="s">
        <v>92</v>
      </c>
      <c r="D134" s="306"/>
      <c r="E134" s="313" t="s">
        <v>119</v>
      </c>
      <c r="F134" s="354">
        <f>ROUND($F$10/2,2)</f>
        <v>371.5</v>
      </c>
      <c r="G134" s="333">
        <f>ROUND(D134*F134,2)</f>
        <v>0</v>
      </c>
      <c r="H134" s="416">
        <f>$H$10/2</f>
        <v>483</v>
      </c>
      <c r="I134" s="82">
        <f>D134*H134</f>
        <v>0</v>
      </c>
      <c r="J134" s="450" t="s">
        <v>301</v>
      </c>
    </row>
    <row r="135" spans="1:94" x14ac:dyDescent="0.25">
      <c r="A135" s="310"/>
      <c r="B135" s="45" t="s">
        <v>466</v>
      </c>
      <c r="C135" s="355" t="s">
        <v>365</v>
      </c>
      <c r="D135" s="46"/>
      <c r="E135" s="64" t="s">
        <v>119</v>
      </c>
      <c r="F135" s="356">
        <f>ROUND($F$10/1.5,2)</f>
        <v>495.33</v>
      </c>
      <c r="G135" s="330">
        <f>ROUND(D135*F135,2)</f>
        <v>0</v>
      </c>
      <c r="H135" s="417">
        <f>$H$10/1.5</f>
        <v>644</v>
      </c>
      <c r="I135" s="58">
        <f t="shared" ref="I135:I137" si="9">D135*H135</f>
        <v>0</v>
      </c>
      <c r="J135" s="452" t="s">
        <v>302</v>
      </c>
    </row>
    <row r="136" spans="1:94" x14ac:dyDescent="0.25">
      <c r="A136" s="310"/>
      <c r="B136" s="216" t="s">
        <v>467</v>
      </c>
      <c r="C136" s="84" t="s">
        <v>93</v>
      </c>
      <c r="D136" s="320"/>
      <c r="E136" s="84" t="s">
        <v>119</v>
      </c>
      <c r="F136" s="357">
        <f>ROUND($F$10/1,2)</f>
        <v>743</v>
      </c>
      <c r="G136" s="334">
        <f>ROUND(D136*F136,2)</f>
        <v>0</v>
      </c>
      <c r="H136" s="418">
        <f>$H$10/1</f>
        <v>966</v>
      </c>
      <c r="I136" s="212">
        <f t="shared" si="9"/>
        <v>0</v>
      </c>
      <c r="J136" s="443" t="s">
        <v>303</v>
      </c>
    </row>
    <row r="137" spans="1:94" x14ac:dyDescent="0.25">
      <c r="A137" s="310"/>
      <c r="B137" s="179" t="s">
        <v>472</v>
      </c>
      <c r="C137" s="17" t="s">
        <v>94</v>
      </c>
      <c r="D137" s="81"/>
      <c r="E137" s="17" t="s">
        <v>119</v>
      </c>
      <c r="F137" s="124">
        <f>ROUND($F$10/0.75,2)</f>
        <v>990.67</v>
      </c>
      <c r="G137" s="449">
        <f>ROUND(D137*F137,2)</f>
        <v>0</v>
      </c>
      <c r="H137" s="419">
        <f>$H$10/0.75</f>
        <v>1288</v>
      </c>
      <c r="I137" s="163">
        <f t="shared" si="9"/>
        <v>0</v>
      </c>
      <c r="J137" s="445" t="s">
        <v>304</v>
      </c>
    </row>
    <row r="138" spans="1:94" x14ac:dyDescent="0.25">
      <c r="A138" s="310"/>
      <c r="B138" s="42" t="s">
        <v>525</v>
      </c>
      <c r="C138" s="61" t="s">
        <v>95</v>
      </c>
      <c r="D138" s="43"/>
      <c r="E138" s="61"/>
      <c r="F138" s="367"/>
      <c r="G138" s="332"/>
      <c r="H138" s="332"/>
      <c r="I138" s="56"/>
      <c r="J138" s="99" t="s">
        <v>308</v>
      </c>
    </row>
    <row r="139" spans="1:94" x14ac:dyDescent="0.25">
      <c r="A139" s="310"/>
      <c r="B139" s="316" t="s">
        <v>473</v>
      </c>
      <c r="C139" s="313" t="s">
        <v>95</v>
      </c>
      <c r="D139" s="306"/>
      <c r="E139" s="313" t="s">
        <v>69</v>
      </c>
      <c r="F139" s="354">
        <f>ROUND($F$10/0.3,2)</f>
        <v>2476.67</v>
      </c>
      <c r="G139" s="333">
        <f>IF(D139=0,0,IF(D139*F139&lt;3000,3000,D139*F139))</f>
        <v>0</v>
      </c>
      <c r="H139" s="416">
        <f>$H$10/0.3</f>
        <v>3220</v>
      </c>
      <c r="I139" s="82">
        <f>IF(D139=0,0,IF(D139*H139&lt;3000,3000,D139*H139))</f>
        <v>0</v>
      </c>
      <c r="J139" s="450" t="s">
        <v>305</v>
      </c>
    </row>
    <row r="140" spans="1:94" x14ac:dyDescent="0.25">
      <c r="A140" s="310"/>
      <c r="B140" s="45" t="s">
        <v>474</v>
      </c>
      <c r="C140" s="64" t="s">
        <v>95</v>
      </c>
      <c r="D140" s="46"/>
      <c r="E140" s="64" t="s">
        <v>69</v>
      </c>
      <c r="F140" s="356">
        <f>ROUND($F$10/0.4,2)</f>
        <v>1857.5</v>
      </c>
      <c r="G140" s="330">
        <f t="shared" ref="G140:G141" si="10">IF(D140=0,0,IF(D140*F140&lt;3000,3000,D140*F140))</f>
        <v>0</v>
      </c>
      <c r="H140" s="417">
        <f>$H$10/0.4</f>
        <v>2415</v>
      </c>
      <c r="I140" s="58">
        <f t="shared" ref="I140:I141" si="11">D140*H140</f>
        <v>0</v>
      </c>
      <c r="J140" s="452" t="s">
        <v>306</v>
      </c>
    </row>
    <row r="141" spans="1:94" x14ac:dyDescent="0.25">
      <c r="A141" s="310"/>
      <c r="B141" s="179" t="s">
        <v>475</v>
      </c>
      <c r="C141" s="17" t="s">
        <v>95</v>
      </c>
      <c r="D141" s="81"/>
      <c r="E141" s="17" t="s">
        <v>69</v>
      </c>
      <c r="F141" s="124">
        <f>ROUND($F$10/0.5,2)</f>
        <v>1486</v>
      </c>
      <c r="G141" s="449">
        <f t="shared" si="10"/>
        <v>0</v>
      </c>
      <c r="H141" s="419">
        <f>$H$10/0.5</f>
        <v>1932</v>
      </c>
      <c r="I141" s="163">
        <f t="shared" si="11"/>
        <v>0</v>
      </c>
      <c r="J141" s="445" t="s">
        <v>307</v>
      </c>
    </row>
    <row r="142" spans="1:94" s="27" customFormat="1" ht="25.5" x14ac:dyDescent="0.25">
      <c r="A142" s="310"/>
      <c r="B142" s="42" t="s">
        <v>219</v>
      </c>
      <c r="C142" s="379">
        <v>14.1</v>
      </c>
      <c r="D142" s="43"/>
      <c r="E142" s="61"/>
      <c r="F142" s="367"/>
      <c r="G142" s="332"/>
      <c r="H142" s="332"/>
      <c r="I142" s="56"/>
      <c r="J142" s="351" t="s">
        <v>330</v>
      </c>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row>
    <row r="143" spans="1:94" x14ac:dyDescent="0.25">
      <c r="A143" s="310"/>
      <c r="B143" s="368" t="s">
        <v>517</v>
      </c>
      <c r="C143" s="313" t="s">
        <v>96</v>
      </c>
      <c r="D143" s="306"/>
      <c r="E143" s="313"/>
      <c r="F143" s="354"/>
      <c r="G143" s="333"/>
      <c r="H143" s="333"/>
      <c r="I143" s="82"/>
      <c r="J143" s="326"/>
    </row>
    <row r="144" spans="1:94" x14ac:dyDescent="0.25">
      <c r="A144" s="310"/>
      <c r="B144" s="45" t="s">
        <v>476</v>
      </c>
      <c r="C144" s="64" t="s">
        <v>96</v>
      </c>
      <c r="D144" s="46"/>
      <c r="E144" s="64"/>
      <c r="F144" s="356"/>
      <c r="G144" s="330"/>
      <c r="H144" s="330"/>
      <c r="I144" s="58"/>
      <c r="J144" s="327"/>
    </row>
    <row r="145" spans="1:94" x14ac:dyDescent="0.25">
      <c r="A145" s="310"/>
      <c r="B145" s="51" t="s">
        <v>102</v>
      </c>
      <c r="C145" s="64"/>
      <c r="D145" s="46"/>
      <c r="E145" s="64" t="s">
        <v>60</v>
      </c>
      <c r="F145" s="356">
        <v>3600</v>
      </c>
      <c r="G145" s="330">
        <f>IF(D145=0,0,IF(D145&lt;=14,F145,"error"))</f>
        <v>0</v>
      </c>
      <c r="H145" s="417">
        <v>3600</v>
      </c>
      <c r="I145" s="58">
        <f>IF(D145=0,0,IF(D145&lt;=14,H145,"error"))</f>
        <v>0</v>
      </c>
      <c r="J145" s="327"/>
    </row>
    <row r="146" spans="1:94" x14ac:dyDescent="0.25">
      <c r="A146" s="310"/>
      <c r="B146" s="51" t="s">
        <v>224</v>
      </c>
      <c r="C146" s="64"/>
      <c r="D146" s="46"/>
      <c r="E146" s="64" t="s">
        <v>60</v>
      </c>
      <c r="F146" s="356">
        <v>5000</v>
      </c>
      <c r="G146" s="330">
        <f>IF(D146=0,0,IF(D146&lt;=14,F146,"error"))</f>
        <v>0</v>
      </c>
      <c r="H146" s="417">
        <v>5000</v>
      </c>
      <c r="I146" s="58">
        <f>IF(D146=0,0,IF(D146&lt;=14,H146,"error"))</f>
        <v>0</v>
      </c>
      <c r="J146" s="327"/>
    </row>
    <row r="147" spans="1:94" x14ac:dyDescent="0.25">
      <c r="A147" s="310"/>
      <c r="B147" s="45" t="s">
        <v>477</v>
      </c>
      <c r="C147" s="64" t="s">
        <v>96</v>
      </c>
      <c r="D147" s="46"/>
      <c r="E147" s="64"/>
      <c r="F147" s="356"/>
      <c r="G147" s="330"/>
      <c r="H147" s="417"/>
      <c r="I147" s="58"/>
      <c r="J147" s="327"/>
    </row>
    <row r="148" spans="1:94" x14ac:dyDescent="0.25">
      <c r="A148" s="310"/>
      <c r="B148" s="51" t="s">
        <v>102</v>
      </c>
      <c r="C148" s="64"/>
      <c r="D148" s="46"/>
      <c r="E148" s="64" t="s">
        <v>60</v>
      </c>
      <c r="F148" s="356">
        <v>3600</v>
      </c>
      <c r="G148" s="330">
        <f>IF(D148=0,0,IF(AND(D148&gt;14,D148&lt;=30),F148,"error"))</f>
        <v>0</v>
      </c>
      <c r="H148" s="417">
        <v>3600</v>
      </c>
      <c r="I148" s="58">
        <f>IF(D148=0,0,IF(AND(D148&gt;14,D148&lt;=30),H148,"error"))</f>
        <v>0</v>
      </c>
      <c r="J148" s="327"/>
    </row>
    <row r="149" spans="1:94" x14ac:dyDescent="0.25">
      <c r="A149" s="310"/>
      <c r="B149" s="51" t="s">
        <v>224</v>
      </c>
      <c r="C149" s="64"/>
      <c r="D149" s="46"/>
      <c r="E149" s="64" t="s">
        <v>60</v>
      </c>
      <c r="F149" s="356">
        <v>12200</v>
      </c>
      <c r="G149" s="330">
        <f>IF(D149=0,0,IF(AND(D149&gt;14,D149&lt;=30),F149,"error"))</f>
        <v>0</v>
      </c>
      <c r="H149" s="417">
        <v>12200</v>
      </c>
      <c r="I149" s="58">
        <f>IF(D149=0,0,IF(AND(D149&gt;14,D149&lt;=30),H149,"error"))</f>
        <v>0</v>
      </c>
      <c r="J149" s="327"/>
    </row>
    <row r="150" spans="1:94" x14ac:dyDescent="0.25">
      <c r="A150" s="310"/>
      <c r="B150" s="358" t="s">
        <v>101</v>
      </c>
      <c r="C150" s="64" t="s">
        <v>97</v>
      </c>
      <c r="D150" s="46"/>
      <c r="E150" s="64"/>
      <c r="F150" s="356"/>
      <c r="G150" s="330"/>
      <c r="H150" s="417"/>
      <c r="I150" s="58"/>
      <c r="J150" s="327" t="s">
        <v>331</v>
      </c>
    </row>
    <row r="151" spans="1:94" x14ac:dyDescent="0.25">
      <c r="A151" s="310"/>
      <c r="B151" s="51" t="s">
        <v>102</v>
      </c>
      <c r="C151" s="64"/>
      <c r="D151" s="46"/>
      <c r="E151" s="64" t="s">
        <v>60</v>
      </c>
      <c r="F151" s="356">
        <v>900</v>
      </c>
      <c r="G151" s="330">
        <f t="shared" ref="G151" si="12">D151*F151</f>
        <v>0</v>
      </c>
      <c r="H151" s="417">
        <v>900</v>
      </c>
      <c r="I151" s="58">
        <f>D151*H151</f>
        <v>0</v>
      </c>
      <c r="J151" s="327" t="s">
        <v>491</v>
      </c>
    </row>
    <row r="152" spans="1:94" s="16" customFormat="1" x14ac:dyDescent="0.25">
      <c r="A152" s="310"/>
      <c r="B152" s="3" t="s">
        <v>223</v>
      </c>
      <c r="C152" s="17"/>
      <c r="D152" s="81"/>
      <c r="E152" s="17" t="s">
        <v>103</v>
      </c>
      <c r="F152" s="124">
        <v>20</v>
      </c>
      <c r="G152" s="449">
        <f>IF(D152=0,0,IF(D152*F152&lt;$F$10,$F$10,D152*F152))</f>
        <v>0</v>
      </c>
      <c r="H152" s="419">
        <v>20</v>
      </c>
      <c r="I152" s="163">
        <f>IF(D152=0,0,IF(D152*H152&lt;$H$10,$H$10,D152*H152))</f>
        <v>0</v>
      </c>
      <c r="J152" s="121" t="s">
        <v>333</v>
      </c>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row>
    <row r="153" spans="1:94" x14ac:dyDescent="0.25">
      <c r="A153" s="310"/>
      <c r="B153" s="309" t="s">
        <v>225</v>
      </c>
      <c r="C153" s="5">
        <v>14.11</v>
      </c>
      <c r="D153" s="79"/>
      <c r="E153" s="5"/>
      <c r="F153" s="311"/>
      <c r="G153" s="7"/>
      <c r="H153" s="447"/>
      <c r="I153" s="158"/>
      <c r="J153" s="125"/>
    </row>
    <row r="154" spans="1:94" x14ac:dyDescent="0.25">
      <c r="A154" s="310"/>
      <c r="B154" s="368" t="s">
        <v>518</v>
      </c>
      <c r="C154" s="313" t="s">
        <v>98</v>
      </c>
      <c r="D154" s="306"/>
      <c r="E154" s="313"/>
      <c r="F154" s="359"/>
      <c r="G154" s="130"/>
      <c r="H154" s="333"/>
      <c r="I154" s="333"/>
      <c r="J154" s="326" t="s">
        <v>334</v>
      </c>
    </row>
    <row r="155" spans="1:94" x14ac:dyDescent="0.25">
      <c r="A155" s="310"/>
      <c r="B155" s="51" t="s">
        <v>243</v>
      </c>
      <c r="C155" s="64"/>
      <c r="D155" s="46"/>
      <c r="E155" s="64"/>
      <c r="F155" s="369"/>
      <c r="G155" s="47"/>
      <c r="H155" s="330"/>
      <c r="I155" s="330"/>
      <c r="J155" s="475" t="s">
        <v>330</v>
      </c>
    </row>
    <row r="156" spans="1:94" x14ac:dyDescent="0.25">
      <c r="A156" s="310"/>
      <c r="B156" s="318" t="s">
        <v>478</v>
      </c>
      <c r="C156" s="313"/>
      <c r="D156" s="306"/>
      <c r="E156" s="313" t="s">
        <v>368</v>
      </c>
      <c r="F156" s="354">
        <v>7000</v>
      </c>
      <c r="G156" s="333">
        <f>IF(D156=0,0,IF(D156&lt;=14,F156,"error"))</f>
        <v>0</v>
      </c>
      <c r="H156" s="416">
        <v>7000</v>
      </c>
      <c r="I156" s="82">
        <f>IF(D156=0,0,IF(D156&lt;=14,H156,"error"))</f>
        <v>0</v>
      </c>
      <c r="J156" s="476"/>
    </row>
    <row r="157" spans="1:94" x14ac:dyDescent="0.25">
      <c r="A157" s="310"/>
      <c r="B157" s="51" t="s">
        <v>519</v>
      </c>
      <c r="C157" s="64"/>
      <c r="D157" s="46"/>
      <c r="E157" s="64" t="s">
        <v>368</v>
      </c>
      <c r="F157" s="356">
        <v>19600</v>
      </c>
      <c r="G157" s="330">
        <f>IF(D157=0,0,IF(D157&lt;=14,F157,"error"))</f>
        <v>0</v>
      </c>
      <c r="H157" s="417">
        <v>19600</v>
      </c>
      <c r="I157" s="58">
        <f>IF(D157=0,0,IF(D157&lt;=14,H157,"error"))</f>
        <v>0</v>
      </c>
      <c r="J157" s="476"/>
    </row>
    <row r="158" spans="1:94" x14ac:dyDescent="0.25">
      <c r="A158" s="310"/>
      <c r="B158" s="51" t="s">
        <v>370</v>
      </c>
      <c r="C158" s="64"/>
      <c r="D158" s="46"/>
      <c r="E158" s="64"/>
      <c r="F158" s="356"/>
      <c r="G158" s="330"/>
      <c r="H158" s="417"/>
      <c r="I158" s="58"/>
      <c r="J158" s="476"/>
    </row>
    <row r="159" spans="1:94" x14ac:dyDescent="0.25">
      <c r="A159" s="310"/>
      <c r="B159" s="51" t="s">
        <v>478</v>
      </c>
      <c r="C159" s="64"/>
      <c r="D159" s="46"/>
      <c r="E159" s="64" t="s">
        <v>368</v>
      </c>
      <c r="F159" s="356">
        <v>7000</v>
      </c>
      <c r="G159" s="330">
        <f>IF(D159=0,0,IF(AND(D159&gt;14,D159&lt;=30),F159,"error"))</f>
        <v>0</v>
      </c>
      <c r="H159" s="417">
        <v>7000</v>
      </c>
      <c r="I159" s="58">
        <f>IF(D159=0,0,IF(AND(D159&gt;14,D159&lt;=30),H159,"error"))</f>
        <v>0</v>
      </c>
      <c r="J159" s="476"/>
    </row>
    <row r="160" spans="1:94" x14ac:dyDescent="0.25">
      <c r="A160" s="310"/>
      <c r="B160" s="52" t="s">
        <v>519</v>
      </c>
      <c r="C160" s="66"/>
      <c r="D160" s="49"/>
      <c r="E160" s="66" t="s">
        <v>368</v>
      </c>
      <c r="F160" s="360">
        <v>39500</v>
      </c>
      <c r="G160" s="331">
        <f>IF(D160=0,0,IF(AND(D160&gt;14,D160&lt;=30),F160,"error"))</f>
        <v>0</v>
      </c>
      <c r="H160" s="420">
        <v>39500</v>
      </c>
      <c r="I160" s="60">
        <f>IF(D160=0,0,IF(AND(D160&gt;14,D160&lt;=30),H160,"error"))</f>
        <v>0</v>
      </c>
      <c r="J160" s="490"/>
    </row>
    <row r="161" spans="1:10" ht="25.5" x14ac:dyDescent="0.25">
      <c r="A161" s="310"/>
      <c r="B161" s="42" t="s">
        <v>101</v>
      </c>
      <c r="C161" s="61" t="s">
        <v>100</v>
      </c>
      <c r="D161" s="43"/>
      <c r="E161" s="61"/>
      <c r="F161" s="370"/>
      <c r="G161" s="44"/>
      <c r="H161" s="332"/>
      <c r="I161" s="56"/>
      <c r="J161" s="351" t="s">
        <v>335</v>
      </c>
    </row>
    <row r="162" spans="1:10" x14ac:dyDescent="0.25">
      <c r="A162" s="310"/>
      <c r="B162" s="318" t="s">
        <v>479</v>
      </c>
      <c r="C162" s="313"/>
      <c r="D162" s="306"/>
      <c r="E162" s="313" t="s">
        <v>265</v>
      </c>
      <c r="F162" s="359">
        <v>1800</v>
      </c>
      <c r="G162" s="130">
        <f>D162*F162</f>
        <v>0</v>
      </c>
      <c r="H162" s="416">
        <v>1800</v>
      </c>
      <c r="I162" s="82">
        <f>D162*H162</f>
        <v>0</v>
      </c>
      <c r="J162" s="326" t="s">
        <v>336</v>
      </c>
    </row>
    <row r="163" spans="1:10" x14ac:dyDescent="0.25">
      <c r="A163" s="310"/>
      <c r="B163" s="3" t="s">
        <v>480</v>
      </c>
      <c r="C163" s="17"/>
      <c r="D163" s="81"/>
      <c r="E163" s="17" t="s">
        <v>267</v>
      </c>
      <c r="F163" s="312">
        <v>300</v>
      </c>
      <c r="G163" s="10">
        <f>IF(D163=0,0,IF(D163*F163&lt;2100,2100,D163*F163))</f>
        <v>0</v>
      </c>
      <c r="H163" s="419">
        <v>300</v>
      </c>
      <c r="I163" s="163">
        <f>IF(D163=0,0,IF(D163*H163&lt;2100,2100,D163*H163))</f>
        <v>0</v>
      </c>
      <c r="J163" s="121" t="s">
        <v>309</v>
      </c>
    </row>
    <row r="164" spans="1:10" ht="25.5" x14ac:dyDescent="0.25">
      <c r="A164" s="310"/>
      <c r="B164" s="319" t="s">
        <v>520</v>
      </c>
      <c r="C164" s="61">
        <v>14.12</v>
      </c>
      <c r="D164" s="43"/>
      <c r="E164" s="61"/>
      <c r="F164" s="367"/>
      <c r="G164" s="332"/>
      <c r="H164" s="332"/>
      <c r="I164" s="56"/>
      <c r="J164" s="99"/>
    </row>
    <row r="165" spans="1:10" x14ac:dyDescent="0.25">
      <c r="A165" s="310"/>
      <c r="B165" s="318" t="s">
        <v>478</v>
      </c>
      <c r="C165" s="313"/>
      <c r="D165" s="306"/>
      <c r="E165" s="313" t="s">
        <v>265</v>
      </c>
      <c r="F165" s="354">
        <v>1800</v>
      </c>
      <c r="G165" s="333">
        <f>D165*F165</f>
        <v>0</v>
      </c>
      <c r="H165" s="416">
        <v>1800</v>
      </c>
      <c r="I165" s="82">
        <f>D165*H165</f>
        <v>0</v>
      </c>
      <c r="J165" s="450"/>
    </row>
    <row r="166" spans="1:10" ht="25.5" x14ac:dyDescent="0.25">
      <c r="A166" s="310"/>
      <c r="B166" s="26" t="s">
        <v>481</v>
      </c>
      <c r="C166" s="17"/>
      <c r="D166" s="80"/>
      <c r="E166" s="15" t="s">
        <v>267</v>
      </c>
      <c r="F166" s="21">
        <v>300</v>
      </c>
      <c r="G166" s="449">
        <f>IF(D166=0,0,IF(D166*F166&lt;2100,2100,D166*F166))</f>
        <v>0</v>
      </c>
      <c r="H166" s="421">
        <v>300</v>
      </c>
      <c r="I166" s="163">
        <f>IF(D166=0,0,IF(D166*H166&lt;2100,2100,D166*H166))</f>
        <v>0</v>
      </c>
      <c r="J166" s="445" t="s">
        <v>337</v>
      </c>
    </row>
    <row r="167" spans="1:10" x14ac:dyDescent="0.25">
      <c r="A167" s="310"/>
      <c r="B167" s="42" t="s">
        <v>521</v>
      </c>
      <c r="C167" s="61">
        <v>14.13</v>
      </c>
      <c r="D167" s="43"/>
      <c r="E167" s="61"/>
      <c r="F167" s="367"/>
      <c r="G167" s="332"/>
      <c r="H167" s="332"/>
      <c r="I167" s="56"/>
      <c r="J167" s="99"/>
    </row>
    <row r="168" spans="1:10" x14ac:dyDescent="0.25">
      <c r="A168" s="310"/>
      <c r="B168" s="26" t="s">
        <v>478</v>
      </c>
      <c r="C168" s="17"/>
      <c r="D168" s="81"/>
      <c r="E168" s="17" t="s">
        <v>226</v>
      </c>
      <c r="F168" s="124">
        <v>250</v>
      </c>
      <c r="G168" s="449">
        <f>IF(D168=0,0,IF(D168*F168&lt;1250,1250,D168*F168))</f>
        <v>0</v>
      </c>
      <c r="H168" s="419">
        <v>250</v>
      </c>
      <c r="I168" s="163">
        <f>IF(D168=0,0,IF(D168*H168&lt;1250,1250,D168*H168))</f>
        <v>0</v>
      </c>
      <c r="J168" s="445"/>
    </row>
    <row r="169" spans="1:10" x14ac:dyDescent="0.25">
      <c r="A169" s="310"/>
      <c r="B169" s="35" t="s">
        <v>237</v>
      </c>
      <c r="C169" s="114">
        <v>14.14</v>
      </c>
      <c r="D169" s="22"/>
      <c r="E169" s="114" t="s">
        <v>226</v>
      </c>
      <c r="F169" s="124">
        <v>250</v>
      </c>
      <c r="G169" s="449">
        <f>IF(D169=0,0,IF(D169*F169&lt;1250,1250,D169*F169))</f>
        <v>0</v>
      </c>
      <c r="H169" s="419">
        <v>250</v>
      </c>
      <c r="I169" s="163">
        <f>IF(D169=0,0,IF(D169*H169&lt;1250,1250,D169*H169))</f>
        <v>0</v>
      </c>
      <c r="J169" s="120"/>
    </row>
    <row r="170" spans="1:10" x14ac:dyDescent="0.25">
      <c r="A170" s="310"/>
      <c r="B170" s="119" t="s">
        <v>66</v>
      </c>
      <c r="C170" s="114"/>
      <c r="D170" s="22"/>
      <c r="E170" s="114"/>
      <c r="F170" s="124"/>
      <c r="G170" s="25">
        <f>SUM(G133:G169)</f>
        <v>0</v>
      </c>
      <c r="H170" s="315"/>
      <c r="I170" s="25">
        <f>SUM(I133:I169)</f>
        <v>0</v>
      </c>
      <c r="J170" s="120"/>
    </row>
    <row r="171" spans="1:10" x14ac:dyDescent="0.25">
      <c r="A171" s="310"/>
      <c r="B171" s="35" t="s">
        <v>522</v>
      </c>
      <c r="C171" s="114">
        <v>14.16</v>
      </c>
      <c r="D171" s="22"/>
      <c r="E171" s="126">
        <v>0.05</v>
      </c>
      <c r="F171" s="261"/>
      <c r="G171" s="315">
        <f>G170*E171/100</f>
        <v>0</v>
      </c>
      <c r="H171" s="315"/>
      <c r="I171" s="115">
        <f>I170*E171/100</f>
        <v>0</v>
      </c>
      <c r="J171" s="120" t="s">
        <v>502</v>
      </c>
    </row>
    <row r="172" spans="1:10" s="12" customFormat="1" x14ac:dyDescent="0.25">
      <c r="A172" s="322"/>
      <c r="B172" s="119" t="s">
        <v>402</v>
      </c>
      <c r="C172" s="340"/>
      <c r="D172" s="345"/>
      <c r="E172" s="345"/>
      <c r="F172" s="32"/>
      <c r="G172" s="442">
        <f>SUM(G134:G171)</f>
        <v>0</v>
      </c>
      <c r="H172" s="38"/>
      <c r="I172" s="392">
        <f>SUM(I134:I171)</f>
        <v>0</v>
      </c>
      <c r="J172" s="325"/>
    </row>
    <row r="173" spans="1:10" x14ac:dyDescent="0.25">
      <c r="A173" s="304"/>
      <c r="B173" s="346"/>
      <c r="C173" s="317"/>
      <c r="D173" s="114"/>
      <c r="E173" s="114"/>
      <c r="F173" s="115"/>
      <c r="G173" s="315"/>
      <c r="H173" s="115"/>
      <c r="I173" s="115"/>
      <c r="J173" s="414"/>
    </row>
    <row r="174" spans="1:10" s="12" customFormat="1" x14ac:dyDescent="0.25">
      <c r="A174" s="458">
        <v>7</v>
      </c>
      <c r="B174" s="4" t="s">
        <v>393</v>
      </c>
      <c r="C174" s="343"/>
      <c r="D174" s="322"/>
      <c r="E174" s="343"/>
      <c r="F174" s="350"/>
      <c r="G174" s="442">
        <f>G42+G50+G95+G111+G130+G172</f>
        <v>2E-3</v>
      </c>
      <c r="H174" s="394"/>
      <c r="I174" s="442">
        <f>I42+I50+I95+I111+I130+I172</f>
        <v>2E-3</v>
      </c>
      <c r="J174" s="344"/>
    </row>
    <row r="175" spans="1:10" s="12" customFormat="1" ht="38.25" x14ac:dyDescent="0.25">
      <c r="A175" s="457">
        <v>8</v>
      </c>
      <c r="B175" s="127" t="s">
        <v>526</v>
      </c>
      <c r="C175" s="5">
        <v>1.1200000000000001</v>
      </c>
      <c r="D175" s="79"/>
      <c r="E175" s="128">
        <v>0.2</v>
      </c>
      <c r="F175" s="7"/>
      <c r="G175" s="447">
        <f>(G174-G10-G12-G13-G14)*0.2</f>
        <v>4.0000000000000002E-4</v>
      </c>
      <c r="H175" s="447"/>
      <c r="I175" s="158">
        <f>I174*0.2</f>
        <v>4.0000000000000002E-4</v>
      </c>
      <c r="J175" s="118" t="s">
        <v>338</v>
      </c>
    </row>
    <row r="176" spans="1:10" x14ac:dyDescent="0.25">
      <c r="A176" s="345">
        <v>9</v>
      </c>
      <c r="B176" s="35" t="s">
        <v>31</v>
      </c>
      <c r="C176" s="361"/>
      <c r="D176" s="28"/>
      <c r="E176" s="28"/>
      <c r="F176" s="336"/>
      <c r="G176" s="38">
        <f>SUM(G174:G175)</f>
        <v>2.4000000000000002E-3</v>
      </c>
      <c r="H176" s="336"/>
      <c r="I176" s="269">
        <f>SUM(I174:I175)</f>
        <v>2.4000000000000002E-3</v>
      </c>
      <c r="J176" s="111"/>
    </row>
    <row r="177" spans="1:94" x14ac:dyDescent="0.25">
      <c r="A177" s="219"/>
      <c r="B177" s="27"/>
      <c r="C177" s="27"/>
      <c r="D177" s="27"/>
      <c r="E177" s="27"/>
      <c r="F177" s="6"/>
      <c r="G177" s="337"/>
      <c r="H177" s="6"/>
      <c r="I177" s="6"/>
      <c r="J177" s="145"/>
    </row>
    <row r="178" spans="1:94" x14ac:dyDescent="0.25">
      <c r="A178" s="467" t="s">
        <v>71</v>
      </c>
      <c r="B178" s="468"/>
      <c r="C178" s="468"/>
      <c r="D178" s="468"/>
      <c r="E178" s="483"/>
      <c r="F178" s="469" t="s">
        <v>180</v>
      </c>
      <c r="G178" s="469"/>
      <c r="H178" s="496" t="s">
        <v>544</v>
      </c>
      <c r="I178" s="497"/>
      <c r="J178" s="98" t="s">
        <v>528</v>
      </c>
    </row>
    <row r="179" spans="1:94" x14ac:dyDescent="0.25">
      <c r="A179" s="457" t="s">
        <v>1</v>
      </c>
      <c r="B179" s="500" t="s">
        <v>2</v>
      </c>
      <c r="C179" s="500" t="s">
        <v>3</v>
      </c>
      <c r="D179" s="500" t="s">
        <v>4</v>
      </c>
      <c r="E179" s="500" t="s">
        <v>5</v>
      </c>
      <c r="F179" s="9" t="s">
        <v>6</v>
      </c>
      <c r="G179" s="19" t="s">
        <v>7</v>
      </c>
      <c r="H179" s="457" t="s">
        <v>6</v>
      </c>
      <c r="I179" s="19" t="s">
        <v>7</v>
      </c>
      <c r="J179" s="502"/>
    </row>
    <row r="180" spans="1:94" x14ac:dyDescent="0.25">
      <c r="A180" s="458" t="s">
        <v>8</v>
      </c>
      <c r="B180" s="501"/>
      <c r="C180" s="501"/>
      <c r="D180" s="501"/>
      <c r="E180" s="501"/>
      <c r="F180" s="458" t="s">
        <v>10</v>
      </c>
      <c r="G180" s="20" t="s">
        <v>10</v>
      </c>
      <c r="H180" s="458" t="s">
        <v>10</v>
      </c>
      <c r="I180" s="20" t="s">
        <v>10</v>
      </c>
      <c r="J180" s="503"/>
    </row>
    <row r="181" spans="1:94" s="28" customFormat="1" ht="25.5" x14ac:dyDescent="0.25">
      <c r="A181" s="9">
        <v>10</v>
      </c>
      <c r="B181" s="35" t="s">
        <v>11</v>
      </c>
      <c r="C181" s="317" t="s">
        <v>507</v>
      </c>
      <c r="D181" s="22"/>
      <c r="E181" s="114" t="s">
        <v>12</v>
      </c>
      <c r="F181" s="25">
        <v>743</v>
      </c>
      <c r="G181" s="315">
        <f>ROUND(D181*F181,2)</f>
        <v>0</v>
      </c>
      <c r="H181" s="315">
        <v>966</v>
      </c>
      <c r="I181" s="115">
        <f>D181*H181</f>
        <v>0</v>
      </c>
      <c r="J181" s="445" t="s">
        <v>545</v>
      </c>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row>
    <row r="182" spans="1:94" s="27" customFormat="1" ht="63.75" x14ac:dyDescent="0.25">
      <c r="A182" s="9"/>
      <c r="B182" s="42" t="s">
        <v>510</v>
      </c>
      <c r="C182" s="61" t="s">
        <v>508</v>
      </c>
      <c r="D182" s="43"/>
      <c r="E182" s="61"/>
      <c r="F182" s="44"/>
      <c r="G182" s="332"/>
      <c r="H182" s="44"/>
      <c r="I182" s="332"/>
      <c r="J182" s="99" t="s">
        <v>503</v>
      </c>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row>
    <row r="183" spans="1:94" x14ac:dyDescent="0.25">
      <c r="A183" s="9"/>
      <c r="B183" s="45" t="s">
        <v>14</v>
      </c>
      <c r="C183" s="64">
        <v>1.3</v>
      </c>
      <c r="D183" s="46"/>
      <c r="E183" s="64" t="s">
        <v>12</v>
      </c>
      <c r="F183" s="47">
        <f>$F$10</f>
        <v>743</v>
      </c>
      <c r="G183" s="330">
        <f>ROUND(D183*F183,2)</f>
        <v>0</v>
      </c>
      <c r="H183" s="47">
        <f>$H$10</f>
        <v>966</v>
      </c>
      <c r="I183" s="330">
        <f>D183*H183</f>
        <v>0</v>
      </c>
      <c r="J183" s="100"/>
    </row>
    <row r="184" spans="1:94" x14ac:dyDescent="0.25">
      <c r="A184" s="9"/>
      <c r="B184" s="45" t="s">
        <v>35</v>
      </c>
      <c r="C184" s="64">
        <v>1.3</v>
      </c>
      <c r="D184" s="46"/>
      <c r="E184" s="64" t="s">
        <v>12</v>
      </c>
      <c r="F184" s="47">
        <f>$F$10*2</f>
        <v>1486</v>
      </c>
      <c r="G184" s="330">
        <f>ROUND(D184*F184,2)</f>
        <v>0</v>
      </c>
      <c r="H184" s="47">
        <f>$H$10*2</f>
        <v>1932</v>
      </c>
      <c r="I184" s="330">
        <f>D184*H184</f>
        <v>0</v>
      </c>
      <c r="J184" s="100"/>
    </row>
    <row r="185" spans="1:94" s="16" customFormat="1" x14ac:dyDescent="0.25">
      <c r="A185" s="9"/>
      <c r="B185" s="48" t="s">
        <v>111</v>
      </c>
      <c r="C185" s="66">
        <v>1.3</v>
      </c>
      <c r="D185" s="49"/>
      <c r="E185" s="66" t="s">
        <v>12</v>
      </c>
      <c r="F185" s="50">
        <f>$F$10*3</f>
        <v>2229</v>
      </c>
      <c r="G185" s="331">
        <f>ROUND(D185*F185,2)</f>
        <v>0</v>
      </c>
      <c r="H185" s="50">
        <f>$H$10*3</f>
        <v>2898</v>
      </c>
      <c r="I185" s="331">
        <f>D185*H185</f>
        <v>0</v>
      </c>
      <c r="J185" s="101"/>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row>
    <row r="186" spans="1:94" s="27" customFormat="1" x14ac:dyDescent="0.25">
      <c r="A186" s="9"/>
      <c r="B186" s="42" t="s">
        <v>512</v>
      </c>
      <c r="C186" s="61">
        <v>4.5</v>
      </c>
      <c r="D186" s="171"/>
      <c r="E186" s="61"/>
      <c r="F186" s="44"/>
      <c r="G186" s="332"/>
      <c r="H186" s="332"/>
      <c r="I186" s="56"/>
      <c r="J186" s="105"/>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row>
    <row r="187" spans="1:94" ht="38.25" x14ac:dyDescent="0.25">
      <c r="A187" s="9"/>
      <c r="B187" s="88" t="s">
        <v>482</v>
      </c>
      <c r="C187" s="64" t="s">
        <v>19</v>
      </c>
      <c r="D187" s="172"/>
      <c r="E187" s="64" t="s">
        <v>60</v>
      </c>
      <c r="F187" s="47">
        <f>ROUND($F$10/4,2)</f>
        <v>185.75</v>
      </c>
      <c r="G187" s="330">
        <f>ROUND(D187*F187,2)</f>
        <v>0</v>
      </c>
      <c r="H187" s="330">
        <f>$H$10/4</f>
        <v>241.5</v>
      </c>
      <c r="I187" s="58">
        <f t="shared" ref="I187:I188" si="13">D187*H187</f>
        <v>0</v>
      </c>
      <c r="J187" s="327" t="s">
        <v>558</v>
      </c>
    </row>
    <row r="188" spans="1:94" s="16" customFormat="1" ht="38.25" x14ac:dyDescent="0.25">
      <c r="A188" s="9"/>
      <c r="B188" s="89" t="s">
        <v>483</v>
      </c>
      <c r="C188" s="66" t="s">
        <v>19</v>
      </c>
      <c r="D188" s="52"/>
      <c r="E188" s="66" t="s">
        <v>60</v>
      </c>
      <c r="F188" s="50">
        <f>ROUND($F$10/2,2)</f>
        <v>371.5</v>
      </c>
      <c r="G188" s="331">
        <f>ROUND(D188*F188,2)</f>
        <v>0</v>
      </c>
      <c r="H188" s="331">
        <f>$H$10/2</f>
        <v>483</v>
      </c>
      <c r="I188" s="60">
        <f t="shared" si="13"/>
        <v>0</v>
      </c>
      <c r="J188" s="328" t="s">
        <v>557</v>
      </c>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row>
    <row r="189" spans="1:94" s="27" customFormat="1" x14ac:dyDescent="0.25">
      <c r="A189" s="9"/>
      <c r="B189" s="92" t="s">
        <v>513</v>
      </c>
      <c r="C189" s="61">
        <v>4.5999999999999996</v>
      </c>
      <c r="D189" s="83"/>
      <c r="E189" s="61"/>
      <c r="F189" s="83"/>
      <c r="G189" s="332"/>
      <c r="H189" s="413"/>
      <c r="I189" s="56"/>
      <c r="J189" s="99" t="s">
        <v>489</v>
      </c>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row>
    <row r="190" spans="1:94" x14ac:dyDescent="0.25">
      <c r="A190" s="310"/>
      <c r="B190" s="91" t="s">
        <v>484</v>
      </c>
      <c r="C190" s="64" t="s">
        <v>107</v>
      </c>
      <c r="D190" s="45"/>
      <c r="E190" s="64" t="s">
        <v>12</v>
      </c>
      <c r="F190" s="47">
        <f>ROUND($F$10*1.25,2)</f>
        <v>928.75</v>
      </c>
      <c r="G190" s="330">
        <f>ROUND(D190*F190,2)</f>
        <v>0</v>
      </c>
      <c r="H190" s="330">
        <f>$H$10*1.25</f>
        <v>1207.5</v>
      </c>
      <c r="I190" s="58">
        <f>D190*H190</f>
        <v>0</v>
      </c>
      <c r="J190" s="452" t="s">
        <v>374</v>
      </c>
    </row>
    <row r="191" spans="1:94" ht="25.5" x14ac:dyDescent="0.25">
      <c r="A191" s="310"/>
      <c r="B191" s="91" t="s">
        <v>485</v>
      </c>
      <c r="C191" s="64" t="s">
        <v>108</v>
      </c>
      <c r="D191" s="45"/>
      <c r="E191" s="64" t="s">
        <v>12</v>
      </c>
      <c r="F191" s="47">
        <f>ROUND($F$10*1.5,2)</f>
        <v>1114.5</v>
      </c>
      <c r="G191" s="330">
        <f>ROUND(D191*F191,2)</f>
        <v>0</v>
      </c>
      <c r="H191" s="330">
        <f>$H$10*1.5</f>
        <v>1449</v>
      </c>
      <c r="I191" s="58">
        <f>D191*H191</f>
        <v>0</v>
      </c>
      <c r="J191" s="452" t="s">
        <v>375</v>
      </c>
    </row>
    <row r="192" spans="1:94" s="16" customFormat="1" x14ac:dyDescent="0.25">
      <c r="A192" s="310"/>
      <c r="B192" s="117" t="s">
        <v>486</v>
      </c>
      <c r="C192" s="66" t="s">
        <v>109</v>
      </c>
      <c r="D192" s="48"/>
      <c r="E192" s="66" t="s">
        <v>12</v>
      </c>
      <c r="F192" s="50">
        <v>900</v>
      </c>
      <c r="G192" s="331">
        <f>ROUND(D192*F192,2)</f>
        <v>0</v>
      </c>
      <c r="H192" s="331">
        <v>900</v>
      </c>
      <c r="I192" s="60">
        <f>D192*H192</f>
        <v>0</v>
      </c>
      <c r="J192" s="443" t="s">
        <v>376</v>
      </c>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row>
    <row r="193" spans="1:94" s="27" customFormat="1" x14ac:dyDescent="0.25">
      <c r="A193" s="310"/>
      <c r="B193" s="362" t="s">
        <v>353</v>
      </c>
      <c r="C193" s="61">
        <v>4.7</v>
      </c>
      <c r="D193" s="83"/>
      <c r="E193" s="61"/>
      <c r="F193" s="44"/>
      <c r="G193" s="332"/>
      <c r="H193" s="332"/>
      <c r="I193" s="56"/>
      <c r="J193" s="99"/>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row>
    <row r="194" spans="1:94" ht="25.5" x14ac:dyDescent="0.25">
      <c r="A194" s="310"/>
      <c r="B194" s="374" t="s">
        <v>450</v>
      </c>
      <c r="C194" s="66">
        <v>1.9</v>
      </c>
      <c r="D194" s="48"/>
      <c r="E194" s="66" t="s">
        <v>12</v>
      </c>
      <c r="F194" s="50">
        <f>ROUND($F$10*1.2,2)</f>
        <v>891.6</v>
      </c>
      <c r="G194" s="50">
        <f>ROUND(D194*F194,2)</f>
        <v>0</v>
      </c>
      <c r="H194" s="331">
        <f>$H$10*1.2</f>
        <v>1159.2</v>
      </c>
      <c r="I194" s="60">
        <f>D194*H194</f>
        <v>0</v>
      </c>
      <c r="J194" s="102" t="s">
        <v>404</v>
      </c>
    </row>
    <row r="195" spans="1:94" ht="25.5" x14ac:dyDescent="0.25">
      <c r="A195" s="457">
        <v>11</v>
      </c>
      <c r="B195" s="366" t="s">
        <v>529</v>
      </c>
      <c r="C195" s="391">
        <v>4.0999999999999996</v>
      </c>
      <c r="D195" s="55"/>
      <c r="E195" s="43"/>
      <c r="F195" s="56"/>
      <c r="G195" s="44"/>
      <c r="H195" s="56"/>
      <c r="I195" s="274"/>
      <c r="J195" s="99" t="s">
        <v>506</v>
      </c>
    </row>
    <row r="196" spans="1:94" x14ac:dyDescent="0.25">
      <c r="A196" s="9"/>
      <c r="B196" s="57" t="s">
        <v>539</v>
      </c>
      <c r="C196" s="46" t="s">
        <v>76</v>
      </c>
      <c r="D196" s="286"/>
      <c r="E196" s="46" t="s">
        <v>69</v>
      </c>
      <c r="F196" s="58">
        <f>ROUND($F$10*3.75,2)</f>
        <v>2786.25</v>
      </c>
      <c r="G196" s="47">
        <f>ROUND(D196*F196,2)</f>
        <v>0</v>
      </c>
      <c r="H196" s="58">
        <f>$H$10*3.75</f>
        <v>3622.5</v>
      </c>
      <c r="I196" s="275">
        <f>D196*H196</f>
        <v>0</v>
      </c>
      <c r="J196" s="100" t="s">
        <v>195</v>
      </c>
    </row>
    <row r="197" spans="1:94" x14ac:dyDescent="0.25">
      <c r="A197" s="458"/>
      <c r="B197" s="59" t="s">
        <v>447</v>
      </c>
      <c r="C197" s="49" t="s">
        <v>76</v>
      </c>
      <c r="D197" s="287"/>
      <c r="E197" s="49" t="s">
        <v>69</v>
      </c>
      <c r="F197" s="58">
        <f>ROUND($F$10*5.5,2)</f>
        <v>4086.5</v>
      </c>
      <c r="G197" s="47">
        <f>ROUND(D197*F197,2)</f>
        <v>0</v>
      </c>
      <c r="H197" s="58">
        <f>$H$10*5.5</f>
        <v>5313</v>
      </c>
      <c r="I197" s="275">
        <f>D197*H197</f>
        <v>0</v>
      </c>
      <c r="J197" s="101" t="s">
        <v>196</v>
      </c>
    </row>
    <row r="198" spans="1:94" x14ac:dyDescent="0.25">
      <c r="A198" s="457">
        <v>12</v>
      </c>
      <c r="B198" s="42" t="s">
        <v>36</v>
      </c>
      <c r="C198" s="76">
        <v>4.1399999999999997</v>
      </c>
      <c r="D198" s="171"/>
      <c r="E198" s="61"/>
      <c r="F198" s="44"/>
      <c r="G198" s="44"/>
      <c r="H198" s="332"/>
      <c r="I198" s="274"/>
      <c r="J198" s="105"/>
    </row>
    <row r="199" spans="1:94" x14ac:dyDescent="0.25">
      <c r="A199" s="9"/>
      <c r="B199" s="51" t="s">
        <v>144</v>
      </c>
      <c r="C199" s="73"/>
      <c r="D199" s="172"/>
      <c r="E199" s="64"/>
      <c r="F199" s="67"/>
      <c r="G199" s="47"/>
      <c r="H199" s="422"/>
      <c r="I199" s="275"/>
      <c r="J199" s="100" t="s">
        <v>165</v>
      </c>
    </row>
    <row r="200" spans="1:94" ht="38.25" x14ac:dyDescent="0.25">
      <c r="A200" s="9"/>
      <c r="B200" s="45" t="s">
        <v>540</v>
      </c>
      <c r="C200" s="73">
        <v>4.1399999999999997</v>
      </c>
      <c r="D200" s="46"/>
      <c r="E200" s="46" t="s">
        <v>69</v>
      </c>
      <c r="F200" s="47">
        <f>ROUND($F$10*2.5,2)</f>
        <v>1857.5</v>
      </c>
      <c r="G200" s="47">
        <f>ROUND(D200*F200,2)</f>
        <v>0</v>
      </c>
      <c r="H200" s="330">
        <f>$H$10*2.5</f>
        <v>2415</v>
      </c>
      <c r="I200" s="275">
        <f>D200*H200</f>
        <v>0</v>
      </c>
      <c r="J200" s="452" t="s">
        <v>193</v>
      </c>
    </row>
    <row r="201" spans="1:94" x14ac:dyDescent="0.25">
      <c r="A201" s="9"/>
      <c r="B201" s="45" t="s">
        <v>148</v>
      </c>
      <c r="C201" s="46">
        <v>4.1399999999999997</v>
      </c>
      <c r="D201" s="46"/>
      <c r="E201" s="46" t="s">
        <v>69</v>
      </c>
      <c r="F201" s="47">
        <f>ROUND($F$10*3,2)</f>
        <v>2229</v>
      </c>
      <c r="G201" s="47">
        <f>ROUND(D201*F201,2)</f>
        <v>0</v>
      </c>
      <c r="H201" s="330">
        <f>$H$10*3</f>
        <v>2898</v>
      </c>
      <c r="I201" s="275">
        <f t="shared" ref="I201:I204" si="14">D201*H201</f>
        <v>0</v>
      </c>
      <c r="J201" s="100" t="s">
        <v>194</v>
      </c>
    </row>
    <row r="202" spans="1:94" x14ac:dyDescent="0.25">
      <c r="A202" s="9"/>
      <c r="B202" s="51" t="s">
        <v>147</v>
      </c>
      <c r="C202" s="77"/>
      <c r="D202" s="51"/>
      <c r="E202" s="78"/>
      <c r="F202" s="67"/>
      <c r="G202" s="47"/>
      <c r="H202" s="422"/>
      <c r="I202" s="275">
        <f>D202*H202</f>
        <v>0</v>
      </c>
      <c r="J202" s="100" t="s">
        <v>165</v>
      </c>
    </row>
    <row r="203" spans="1:94" ht="25.5" x14ac:dyDescent="0.25">
      <c r="A203" s="9"/>
      <c r="B203" s="45" t="s">
        <v>540</v>
      </c>
      <c r="C203" s="73">
        <v>4.1399999999999997</v>
      </c>
      <c r="D203" s="46"/>
      <c r="E203" s="46" t="s">
        <v>69</v>
      </c>
      <c r="F203" s="47">
        <f>2*1000</f>
        <v>2000</v>
      </c>
      <c r="G203" s="47">
        <f>ROUND(D203*F203,2)</f>
        <v>0</v>
      </c>
      <c r="H203" s="330">
        <f>2.6*1000</f>
        <v>2600</v>
      </c>
      <c r="I203" s="275">
        <f t="shared" si="14"/>
        <v>0</v>
      </c>
      <c r="J203" s="452" t="s">
        <v>182</v>
      </c>
    </row>
    <row r="204" spans="1:94" ht="25.5" x14ac:dyDescent="0.25">
      <c r="A204" s="458"/>
      <c r="B204" s="48" t="s">
        <v>148</v>
      </c>
      <c r="C204" s="65">
        <v>4.1399999999999997</v>
      </c>
      <c r="D204" s="65"/>
      <c r="E204" s="49" t="s">
        <v>69</v>
      </c>
      <c r="F204" s="50">
        <f>2.5*1000</f>
        <v>2500</v>
      </c>
      <c r="G204" s="47">
        <f>ROUND(D204*F204,2)</f>
        <v>0</v>
      </c>
      <c r="H204" s="331">
        <f>3.25*1000</f>
        <v>3250</v>
      </c>
      <c r="I204" s="275">
        <f t="shared" si="14"/>
        <v>0</v>
      </c>
      <c r="J204" s="102" t="s">
        <v>183</v>
      </c>
    </row>
    <row r="205" spans="1:94" x14ac:dyDescent="0.25">
      <c r="A205" s="304"/>
      <c r="B205" s="346"/>
      <c r="C205" s="317"/>
      <c r="D205" s="114"/>
      <c r="E205" s="114"/>
      <c r="F205" s="115"/>
      <c r="G205" s="315"/>
      <c r="H205" s="115"/>
      <c r="I205" s="115"/>
      <c r="J205" s="414"/>
    </row>
    <row r="206" spans="1:94" x14ac:dyDescent="0.25">
      <c r="A206" s="345">
        <v>13</v>
      </c>
      <c r="B206" s="4" t="s">
        <v>530</v>
      </c>
      <c r="C206" s="23"/>
      <c r="D206" s="23"/>
      <c r="E206" s="23"/>
      <c r="F206" s="23"/>
      <c r="G206" s="442">
        <f>SUM(G181:G204)</f>
        <v>0</v>
      </c>
      <c r="H206" s="26"/>
      <c r="I206" s="392">
        <f>SUM(I181:I204)</f>
        <v>0</v>
      </c>
      <c r="J206" s="111"/>
    </row>
    <row r="207" spans="1:94" x14ac:dyDescent="0.25">
      <c r="A207" s="345">
        <v>14</v>
      </c>
      <c r="B207" s="33" t="s">
        <v>46</v>
      </c>
      <c r="C207" s="339"/>
      <c r="D207" s="28"/>
      <c r="E207" s="114"/>
      <c r="F207" s="315"/>
      <c r="G207" s="34">
        <f>G206</f>
        <v>0</v>
      </c>
      <c r="H207" s="315"/>
      <c r="I207" s="292">
        <f>I206</f>
        <v>0</v>
      </c>
      <c r="J207" s="103"/>
    </row>
    <row r="208" spans="1:94" x14ac:dyDescent="0.25">
      <c r="A208" s="41"/>
      <c r="B208" s="12"/>
      <c r="C208" s="15"/>
      <c r="E208" s="15"/>
      <c r="F208" s="456"/>
      <c r="G208" s="338"/>
      <c r="H208" s="456"/>
      <c r="I208" s="293"/>
      <c r="J208" s="307"/>
    </row>
    <row r="209" spans="1:10" x14ac:dyDescent="0.25">
      <c r="A209" s="471" t="s">
        <v>441</v>
      </c>
      <c r="B209" s="471"/>
      <c r="C209" s="471"/>
      <c r="D209" s="471"/>
      <c r="E209" s="471"/>
      <c r="F209" s="469" t="s">
        <v>180</v>
      </c>
      <c r="G209" s="469"/>
      <c r="H209" s="496" t="s">
        <v>544</v>
      </c>
      <c r="I209" s="497"/>
      <c r="J209" s="98" t="s">
        <v>528</v>
      </c>
    </row>
    <row r="210" spans="1:10" x14ac:dyDescent="0.25">
      <c r="A210" s="457" t="s">
        <v>1</v>
      </c>
      <c r="B210" s="500" t="s">
        <v>2</v>
      </c>
      <c r="C210" s="500" t="s">
        <v>3</v>
      </c>
      <c r="D210" s="500" t="s">
        <v>4</v>
      </c>
      <c r="E210" s="500" t="s">
        <v>5</v>
      </c>
      <c r="F210" s="9" t="s">
        <v>6</v>
      </c>
      <c r="G210" s="19" t="s">
        <v>7</v>
      </c>
      <c r="H210" s="457" t="s">
        <v>6</v>
      </c>
      <c r="I210" s="19" t="s">
        <v>7</v>
      </c>
      <c r="J210" s="502"/>
    </row>
    <row r="211" spans="1:10" x14ac:dyDescent="0.25">
      <c r="A211" s="458" t="s">
        <v>8</v>
      </c>
      <c r="B211" s="501"/>
      <c r="C211" s="501"/>
      <c r="D211" s="501"/>
      <c r="E211" s="501"/>
      <c r="F211" s="458" t="s">
        <v>10</v>
      </c>
      <c r="G211" s="20" t="s">
        <v>10</v>
      </c>
      <c r="H211" s="458" t="s">
        <v>10</v>
      </c>
      <c r="I211" s="20" t="s">
        <v>10</v>
      </c>
      <c r="J211" s="503"/>
    </row>
    <row r="212" spans="1:10" x14ac:dyDescent="0.25">
      <c r="A212" s="457">
        <v>15</v>
      </c>
      <c r="B212" s="35" t="s">
        <v>441</v>
      </c>
      <c r="C212" s="23"/>
      <c r="D212" s="23"/>
      <c r="E212" s="23"/>
      <c r="F212" s="24"/>
      <c r="G212" s="24"/>
      <c r="H212" s="336"/>
      <c r="I212" s="24"/>
      <c r="J212" s="111"/>
    </row>
    <row r="213" spans="1:10" x14ac:dyDescent="0.25">
      <c r="A213" s="310"/>
      <c r="B213" s="68" t="s">
        <v>118</v>
      </c>
      <c r="C213" s="53"/>
      <c r="D213" s="43"/>
      <c r="E213" s="43"/>
      <c r="F213" s="44"/>
      <c r="G213" s="44"/>
      <c r="H213" s="332"/>
      <c r="I213" s="44"/>
      <c r="J213" s="107"/>
    </row>
    <row r="214" spans="1:10" ht="38.25" x14ac:dyDescent="0.25">
      <c r="A214" s="310"/>
      <c r="B214" s="69" t="s">
        <v>541</v>
      </c>
      <c r="C214" s="70"/>
      <c r="D214" s="46"/>
      <c r="E214" s="71"/>
      <c r="F214" s="47"/>
      <c r="G214" s="47"/>
      <c r="H214" s="330"/>
      <c r="I214" s="47"/>
      <c r="J214" s="453"/>
    </row>
    <row r="215" spans="1:10" ht="114.75" x14ac:dyDescent="0.25">
      <c r="A215" s="310"/>
      <c r="B215" s="72" t="s">
        <v>531</v>
      </c>
      <c r="C215" s="46" t="s">
        <v>533</v>
      </c>
      <c r="D215" s="46"/>
      <c r="E215" s="46" t="s">
        <v>75</v>
      </c>
      <c r="F215" s="47">
        <v>10</v>
      </c>
      <c r="G215" s="47">
        <f>ROUND(D215*F215,2)</f>
        <v>0</v>
      </c>
      <c r="H215" s="330">
        <v>10</v>
      </c>
      <c r="I215" s="47">
        <f t="shared" ref="I215:I231" si="15">D215*H215</f>
        <v>0</v>
      </c>
      <c r="J215" s="452" t="s">
        <v>168</v>
      </c>
    </row>
    <row r="216" spans="1:10" x14ac:dyDescent="0.25">
      <c r="A216" s="310"/>
      <c r="B216" s="72" t="s">
        <v>532</v>
      </c>
      <c r="C216" s="46"/>
      <c r="D216" s="46"/>
      <c r="E216" s="73"/>
      <c r="F216" s="47"/>
      <c r="G216" s="47"/>
      <c r="H216" s="330"/>
      <c r="I216" s="47"/>
      <c r="J216" s="452"/>
    </row>
    <row r="217" spans="1:10" ht="38.25" x14ac:dyDescent="0.25">
      <c r="A217" s="310"/>
      <c r="B217" s="62" t="s">
        <v>542</v>
      </c>
      <c r="C217" s="46" t="s">
        <v>42</v>
      </c>
      <c r="D217" s="46"/>
      <c r="E217" s="46" t="s">
        <v>58</v>
      </c>
      <c r="F217" s="47">
        <v>20</v>
      </c>
      <c r="G217" s="47">
        <f>IF(D217=0,0,IF(D217*F217&lt;400,400,D217*F217))</f>
        <v>0</v>
      </c>
      <c r="H217" s="330">
        <v>20</v>
      </c>
      <c r="I217" s="47">
        <f>IF(D217=0,0,IF(D217*H217&lt;400,400,D217*H217))</f>
        <v>0</v>
      </c>
      <c r="J217" s="452" t="s">
        <v>493</v>
      </c>
    </row>
    <row r="218" spans="1:10" x14ac:dyDescent="0.25">
      <c r="A218" s="310"/>
      <c r="B218" s="62" t="s">
        <v>208</v>
      </c>
      <c r="C218" s="46" t="s">
        <v>105</v>
      </c>
      <c r="D218" s="46"/>
      <c r="E218" s="46" t="s">
        <v>61</v>
      </c>
      <c r="F218" s="47">
        <v>280</v>
      </c>
      <c r="G218" s="47">
        <f>ROUND(D218*F218,2)</f>
        <v>0</v>
      </c>
      <c r="H218" s="330">
        <v>280</v>
      </c>
      <c r="I218" s="47">
        <f t="shared" si="15"/>
        <v>0</v>
      </c>
      <c r="J218" s="452" t="s">
        <v>437</v>
      </c>
    </row>
    <row r="219" spans="1:10" ht="25.5" x14ac:dyDescent="0.25">
      <c r="A219" s="310"/>
      <c r="B219" s="62" t="s">
        <v>569</v>
      </c>
      <c r="C219" s="46" t="s">
        <v>104</v>
      </c>
      <c r="D219" s="46"/>
      <c r="E219" s="46" t="s">
        <v>61</v>
      </c>
      <c r="F219" s="47">
        <v>10</v>
      </c>
      <c r="G219" s="47">
        <f>ROUND(D219*F219,2)</f>
        <v>0</v>
      </c>
      <c r="H219" s="330">
        <v>10</v>
      </c>
      <c r="I219" s="47">
        <f>D219*H219</f>
        <v>0</v>
      </c>
      <c r="J219" s="297" t="s">
        <v>434</v>
      </c>
    </row>
    <row r="220" spans="1:10" ht="38.25" x14ac:dyDescent="0.25">
      <c r="A220" s="310"/>
      <c r="B220" s="62" t="s">
        <v>154</v>
      </c>
      <c r="C220" s="46" t="s">
        <v>534</v>
      </c>
      <c r="D220" s="172"/>
      <c r="E220" s="46" t="s">
        <v>407</v>
      </c>
      <c r="F220" s="47">
        <v>0</v>
      </c>
      <c r="G220" s="47">
        <f>F220</f>
        <v>0</v>
      </c>
      <c r="H220" s="330">
        <v>0</v>
      </c>
      <c r="I220" s="47">
        <f>H220</f>
        <v>0</v>
      </c>
      <c r="J220" s="452" t="s">
        <v>435</v>
      </c>
    </row>
    <row r="221" spans="1:10" ht="38.25" x14ac:dyDescent="0.25">
      <c r="A221" s="310"/>
      <c r="B221" s="72" t="s">
        <v>155</v>
      </c>
      <c r="C221" s="46" t="s">
        <v>534</v>
      </c>
      <c r="D221" s="172"/>
      <c r="E221" s="46" t="s">
        <v>407</v>
      </c>
      <c r="F221" s="47">
        <v>0</v>
      </c>
      <c r="G221" s="47">
        <f>F221</f>
        <v>0</v>
      </c>
      <c r="H221" s="330">
        <v>0</v>
      </c>
      <c r="I221" s="47">
        <f>H221</f>
        <v>0</v>
      </c>
      <c r="J221" s="452" t="s">
        <v>438</v>
      </c>
    </row>
    <row r="222" spans="1:10" ht="25.5" x14ac:dyDescent="0.25">
      <c r="A222" s="310"/>
      <c r="B222" s="62" t="s">
        <v>205</v>
      </c>
      <c r="C222" s="46" t="s">
        <v>48</v>
      </c>
      <c r="D222" s="172"/>
      <c r="E222" s="46" t="s">
        <v>407</v>
      </c>
      <c r="F222" s="47">
        <v>0</v>
      </c>
      <c r="G222" s="47">
        <f>F222</f>
        <v>0</v>
      </c>
      <c r="H222" s="330">
        <v>0</v>
      </c>
      <c r="I222" s="47">
        <f>H222</f>
        <v>0</v>
      </c>
      <c r="J222" s="452" t="s">
        <v>494</v>
      </c>
    </row>
    <row r="223" spans="1:10" x14ac:dyDescent="0.25">
      <c r="A223" s="310"/>
      <c r="B223" s="72" t="s">
        <v>156</v>
      </c>
      <c r="C223" s="51"/>
      <c r="D223" s="46"/>
      <c r="E223" s="51"/>
      <c r="F223" s="67"/>
      <c r="G223" s="47"/>
      <c r="H223" s="422"/>
      <c r="I223" s="47"/>
      <c r="J223" s="100"/>
    </row>
    <row r="224" spans="1:10" ht="51" x14ac:dyDescent="0.25">
      <c r="A224" s="310"/>
      <c r="B224" s="72" t="s">
        <v>157</v>
      </c>
      <c r="C224" s="46" t="s">
        <v>534</v>
      </c>
      <c r="D224" s="172"/>
      <c r="E224" s="46" t="s">
        <v>407</v>
      </c>
      <c r="F224" s="47">
        <v>0</v>
      </c>
      <c r="G224" s="47">
        <f>F224</f>
        <v>0</v>
      </c>
      <c r="H224" s="330">
        <f>F224</f>
        <v>0</v>
      </c>
      <c r="I224" s="47">
        <f>H224</f>
        <v>0</v>
      </c>
      <c r="J224" s="452" t="s">
        <v>436</v>
      </c>
    </row>
    <row r="225" spans="1:10" x14ac:dyDescent="0.25">
      <c r="A225" s="310"/>
      <c r="B225" s="72" t="s">
        <v>158</v>
      </c>
      <c r="C225" s="46" t="s">
        <v>534</v>
      </c>
      <c r="D225" s="172"/>
      <c r="E225" s="46" t="s">
        <v>407</v>
      </c>
      <c r="F225" s="47"/>
      <c r="G225" s="47">
        <f>F225</f>
        <v>0</v>
      </c>
      <c r="H225" s="330">
        <v>0</v>
      </c>
      <c r="I225" s="47">
        <f>H225</f>
        <v>0</v>
      </c>
      <c r="J225" s="452" t="s">
        <v>167</v>
      </c>
    </row>
    <row r="226" spans="1:10" ht="25.5" x14ac:dyDescent="0.25">
      <c r="A226" s="310"/>
      <c r="B226" s="74" t="s">
        <v>159</v>
      </c>
      <c r="C226" s="46"/>
      <c r="D226" s="172"/>
      <c r="E226" s="46"/>
      <c r="F226" s="47"/>
      <c r="G226" s="47"/>
      <c r="H226" s="330"/>
      <c r="I226" s="47"/>
      <c r="J226" s="475" t="s">
        <v>439</v>
      </c>
    </row>
    <row r="227" spans="1:10" x14ac:dyDescent="0.25">
      <c r="A227" s="310"/>
      <c r="B227" s="72" t="s">
        <v>50</v>
      </c>
      <c r="C227" s="46"/>
      <c r="D227" s="172"/>
      <c r="E227" s="46"/>
      <c r="F227" s="47"/>
      <c r="G227" s="47"/>
      <c r="H227" s="330"/>
      <c r="I227" s="47"/>
      <c r="J227" s="476"/>
    </row>
    <row r="228" spans="1:10" x14ac:dyDescent="0.25">
      <c r="A228" s="310"/>
      <c r="B228" s="72" t="s">
        <v>433</v>
      </c>
      <c r="C228" s="46"/>
      <c r="D228" s="46"/>
      <c r="E228" s="64" t="s">
        <v>407</v>
      </c>
      <c r="F228" s="47"/>
      <c r="G228" s="47">
        <f>F228</f>
        <v>0</v>
      </c>
      <c r="H228" s="330">
        <v>0</v>
      </c>
      <c r="I228" s="47">
        <f>H228</f>
        <v>0</v>
      </c>
      <c r="J228" s="476"/>
    </row>
    <row r="229" spans="1:10" x14ac:dyDescent="0.25">
      <c r="A229" s="310"/>
      <c r="B229" s="72" t="s">
        <v>432</v>
      </c>
      <c r="C229" s="46"/>
      <c r="D229" s="172"/>
      <c r="E229" s="46" t="s">
        <v>69</v>
      </c>
      <c r="F229" s="47">
        <v>0.5</v>
      </c>
      <c r="G229" s="47">
        <f>D229*F229</f>
        <v>0</v>
      </c>
      <c r="H229" s="330">
        <v>0.5</v>
      </c>
      <c r="I229" s="47">
        <f t="shared" si="15"/>
        <v>0</v>
      </c>
      <c r="J229" s="476"/>
    </row>
    <row r="230" spans="1:10" x14ac:dyDescent="0.25">
      <c r="A230" s="310"/>
      <c r="B230" s="72" t="s">
        <v>51</v>
      </c>
      <c r="C230" s="46" t="s">
        <v>49</v>
      </c>
      <c r="D230" s="46"/>
      <c r="E230" s="46" t="s">
        <v>407</v>
      </c>
      <c r="F230" s="47"/>
      <c r="G230" s="47">
        <f>F230</f>
        <v>0</v>
      </c>
      <c r="H230" s="330">
        <v>0</v>
      </c>
      <c r="I230" s="47">
        <f t="shared" si="15"/>
        <v>0</v>
      </c>
      <c r="J230" s="476"/>
    </row>
    <row r="231" spans="1:10" x14ac:dyDescent="0.25">
      <c r="A231" s="310"/>
      <c r="B231" s="72" t="s">
        <v>177</v>
      </c>
      <c r="C231" s="46" t="s">
        <v>49</v>
      </c>
      <c r="D231" s="46"/>
      <c r="E231" s="46" t="s">
        <v>106</v>
      </c>
      <c r="F231" s="47">
        <v>85</v>
      </c>
      <c r="G231" s="47">
        <f>D231*F231</f>
        <v>0</v>
      </c>
      <c r="H231" s="330">
        <v>85</v>
      </c>
      <c r="I231" s="47">
        <f t="shared" si="15"/>
        <v>0</v>
      </c>
      <c r="J231" s="477"/>
    </row>
    <row r="232" spans="1:10" x14ac:dyDescent="0.25">
      <c r="A232" s="310"/>
      <c r="B232" s="62" t="s">
        <v>319</v>
      </c>
      <c r="C232" s="46" t="s">
        <v>63</v>
      </c>
      <c r="D232" s="46"/>
      <c r="E232" s="64" t="s">
        <v>407</v>
      </c>
      <c r="F232" s="47">
        <v>0</v>
      </c>
      <c r="G232" s="47">
        <f>F232</f>
        <v>0</v>
      </c>
      <c r="H232" s="330">
        <v>0</v>
      </c>
      <c r="I232" s="47">
        <f>H232</f>
        <v>0</v>
      </c>
      <c r="J232" s="452"/>
    </row>
    <row r="233" spans="1:10" ht="25.5" x14ac:dyDescent="0.25">
      <c r="A233" s="310"/>
      <c r="B233" s="62" t="s">
        <v>206</v>
      </c>
      <c r="C233" s="46" t="s">
        <v>64</v>
      </c>
      <c r="D233" s="46"/>
      <c r="E233" s="64" t="s">
        <v>407</v>
      </c>
      <c r="F233" s="47"/>
      <c r="G233" s="47">
        <f>F233</f>
        <v>0</v>
      </c>
      <c r="H233" s="330">
        <v>0</v>
      </c>
      <c r="I233" s="47">
        <f>H233</f>
        <v>0</v>
      </c>
      <c r="J233" s="452"/>
    </row>
    <row r="234" spans="1:10" ht="38.25" x14ac:dyDescent="0.25">
      <c r="A234" s="310"/>
      <c r="B234" s="62" t="s">
        <v>207</v>
      </c>
      <c r="C234" s="46" t="s">
        <v>65</v>
      </c>
      <c r="D234" s="46"/>
      <c r="E234" s="64" t="s">
        <v>407</v>
      </c>
      <c r="F234" s="47"/>
      <c r="G234" s="47">
        <f>F234</f>
        <v>0</v>
      </c>
      <c r="H234" s="330">
        <v>0</v>
      </c>
      <c r="I234" s="47">
        <f>H234</f>
        <v>0</v>
      </c>
      <c r="J234" s="452"/>
    </row>
    <row r="235" spans="1:10" x14ac:dyDescent="0.25">
      <c r="A235" s="310"/>
      <c r="B235" s="62"/>
      <c r="C235" s="46"/>
      <c r="D235" s="46"/>
      <c r="E235" s="64"/>
      <c r="F235" s="47"/>
      <c r="G235" s="47"/>
      <c r="H235" s="330"/>
      <c r="I235" s="47"/>
      <c r="J235" s="452"/>
    </row>
    <row r="236" spans="1:10" x14ac:dyDescent="0.25">
      <c r="A236" s="310"/>
      <c r="B236" s="75" t="s">
        <v>200</v>
      </c>
      <c r="C236" s="70"/>
      <c r="D236" s="46"/>
      <c r="E236" s="71"/>
      <c r="F236" s="47"/>
      <c r="G236" s="47"/>
      <c r="H236" s="330"/>
      <c r="I236" s="47"/>
      <c r="J236" s="453"/>
    </row>
    <row r="237" spans="1:10" x14ac:dyDescent="0.25">
      <c r="A237" s="9"/>
      <c r="B237" s="45" t="s">
        <v>531</v>
      </c>
      <c r="C237" s="46" t="s">
        <v>533</v>
      </c>
      <c r="D237" s="46"/>
      <c r="E237" s="46" t="s">
        <v>75</v>
      </c>
      <c r="F237" s="47">
        <v>10</v>
      </c>
      <c r="G237" s="47">
        <f>ROUND(D237*F237,2)</f>
        <v>0</v>
      </c>
      <c r="H237" s="330"/>
      <c r="I237" s="47"/>
      <c r="J237" s="100"/>
    </row>
    <row r="238" spans="1:10" x14ac:dyDescent="0.25">
      <c r="A238" s="9"/>
      <c r="B238" s="51" t="s">
        <v>532</v>
      </c>
      <c r="C238" s="46"/>
      <c r="D238" s="46"/>
      <c r="E238" s="73"/>
      <c r="F238" s="47"/>
      <c r="G238" s="47"/>
      <c r="H238" s="330"/>
      <c r="I238" s="47"/>
      <c r="J238" s="453"/>
    </row>
    <row r="239" spans="1:10" ht="25.5" x14ac:dyDescent="0.25">
      <c r="A239" s="9"/>
      <c r="B239" s="380" t="s">
        <v>440</v>
      </c>
      <c r="C239" s="46" t="s">
        <v>42</v>
      </c>
      <c r="D239" s="46"/>
      <c r="E239" s="46" t="s">
        <v>58</v>
      </c>
      <c r="F239" s="47">
        <v>20</v>
      </c>
      <c r="G239" s="47">
        <f>IF(D239=0,0,IF(D239*F239&lt;400,400,D239*F239))</f>
        <v>0</v>
      </c>
      <c r="H239" s="330"/>
      <c r="I239" s="47"/>
      <c r="J239" s="475" t="s">
        <v>495</v>
      </c>
    </row>
    <row r="240" spans="1:10" x14ac:dyDescent="0.25">
      <c r="A240" s="9"/>
      <c r="B240" s="72" t="s">
        <v>568</v>
      </c>
      <c r="C240" s="46" t="s">
        <v>104</v>
      </c>
      <c r="D240" s="46"/>
      <c r="E240" s="46" t="s">
        <v>61</v>
      </c>
      <c r="F240" s="47">
        <v>10</v>
      </c>
      <c r="G240" s="47">
        <f>D240*F240</f>
        <v>0</v>
      </c>
      <c r="H240" s="330"/>
      <c r="I240" s="47"/>
      <c r="J240" s="477"/>
    </row>
    <row r="241" spans="1:10" ht="38.25" x14ac:dyDescent="0.25">
      <c r="A241" s="9"/>
      <c r="B241" s="380" t="s">
        <v>154</v>
      </c>
      <c r="C241" s="46" t="s">
        <v>534</v>
      </c>
      <c r="D241" s="172"/>
      <c r="E241" s="46" t="s">
        <v>407</v>
      </c>
      <c r="F241" s="47">
        <v>0</v>
      </c>
      <c r="G241" s="47">
        <f>F241</f>
        <v>0</v>
      </c>
      <c r="H241" s="330"/>
      <c r="I241" s="47"/>
      <c r="J241" s="452" t="s">
        <v>435</v>
      </c>
    </row>
    <row r="242" spans="1:10" ht="38.25" x14ac:dyDescent="0.25">
      <c r="A242" s="9"/>
      <c r="B242" s="380" t="s">
        <v>160</v>
      </c>
      <c r="C242" s="46" t="s">
        <v>534</v>
      </c>
      <c r="D242" s="172"/>
      <c r="E242" s="46" t="s">
        <v>407</v>
      </c>
      <c r="F242" s="47">
        <v>0</v>
      </c>
      <c r="G242" s="47">
        <f>F242</f>
        <v>0</v>
      </c>
      <c r="H242" s="330"/>
      <c r="I242" s="47"/>
      <c r="J242" s="452" t="s">
        <v>438</v>
      </c>
    </row>
    <row r="243" spans="1:10" x14ac:dyDescent="0.25">
      <c r="A243" s="9"/>
      <c r="B243" s="62" t="s">
        <v>156</v>
      </c>
      <c r="C243" s="51"/>
      <c r="D243" s="46"/>
      <c r="E243" s="51"/>
      <c r="F243" s="67"/>
      <c r="G243" s="47"/>
      <c r="H243" s="422"/>
      <c r="I243" s="47"/>
      <c r="J243" s="453"/>
    </row>
    <row r="244" spans="1:10" x14ac:dyDescent="0.25">
      <c r="A244" s="9"/>
      <c r="B244" s="62" t="s">
        <v>157</v>
      </c>
      <c r="C244" s="46" t="s">
        <v>534</v>
      </c>
      <c r="D244" s="172"/>
      <c r="E244" s="46" t="s">
        <v>407</v>
      </c>
      <c r="F244" s="47"/>
      <c r="G244" s="47">
        <f>F244</f>
        <v>0</v>
      </c>
      <c r="H244" s="330"/>
      <c r="I244" s="47"/>
      <c r="J244" s="452" t="s">
        <v>445</v>
      </c>
    </row>
    <row r="245" spans="1:10" x14ac:dyDescent="0.25">
      <c r="A245" s="9"/>
      <c r="B245" s="62" t="s">
        <v>158</v>
      </c>
      <c r="C245" s="46" t="s">
        <v>534</v>
      </c>
      <c r="D245" s="172"/>
      <c r="E245" s="46" t="s">
        <v>407</v>
      </c>
      <c r="F245" s="47"/>
      <c r="G245" s="47">
        <f>F245</f>
        <v>0</v>
      </c>
      <c r="H245" s="330"/>
      <c r="I245" s="47"/>
      <c r="J245" s="452" t="s">
        <v>179</v>
      </c>
    </row>
    <row r="246" spans="1:10" ht="25.5" x14ac:dyDescent="0.25">
      <c r="A246" s="310"/>
      <c r="B246" s="74" t="s">
        <v>159</v>
      </c>
      <c r="C246" s="46"/>
      <c r="D246" s="172"/>
      <c r="E246" s="46"/>
      <c r="F246" s="47"/>
      <c r="G246" s="47"/>
      <c r="H246" s="330"/>
      <c r="I246" s="47"/>
      <c r="J246" s="475" t="s">
        <v>439</v>
      </c>
    </row>
    <row r="247" spans="1:10" x14ac:dyDescent="0.25">
      <c r="A247" s="310"/>
      <c r="B247" s="72" t="s">
        <v>50</v>
      </c>
      <c r="C247" s="46"/>
      <c r="D247" s="172"/>
      <c r="E247" s="46"/>
      <c r="F247" s="47"/>
      <c r="G247" s="47"/>
      <c r="H247" s="330"/>
      <c r="I247" s="47"/>
      <c r="J247" s="476"/>
    </row>
    <row r="248" spans="1:10" x14ac:dyDescent="0.25">
      <c r="A248" s="310"/>
      <c r="B248" s="72" t="s">
        <v>433</v>
      </c>
      <c r="C248" s="46"/>
      <c r="D248" s="46"/>
      <c r="E248" s="64" t="s">
        <v>407</v>
      </c>
      <c r="F248" s="47"/>
      <c r="G248" s="47">
        <f>F248</f>
        <v>0</v>
      </c>
      <c r="H248" s="330"/>
      <c r="I248" s="47"/>
      <c r="J248" s="476"/>
    </row>
    <row r="249" spans="1:10" x14ac:dyDescent="0.25">
      <c r="A249" s="310"/>
      <c r="B249" s="72" t="s">
        <v>432</v>
      </c>
      <c r="C249" s="46"/>
      <c r="D249" s="172"/>
      <c r="E249" s="46" t="s">
        <v>69</v>
      </c>
      <c r="F249" s="47">
        <v>0.5</v>
      </c>
      <c r="G249" s="47">
        <f>ROUND(D249*F249,2)</f>
        <v>0</v>
      </c>
      <c r="H249" s="330"/>
      <c r="I249" s="47"/>
      <c r="J249" s="476"/>
    </row>
    <row r="250" spans="1:10" x14ac:dyDescent="0.25">
      <c r="A250" s="310"/>
      <c r="B250" s="72" t="s">
        <v>51</v>
      </c>
      <c r="C250" s="46" t="s">
        <v>49</v>
      </c>
      <c r="D250" s="46"/>
      <c r="E250" s="46" t="s">
        <v>407</v>
      </c>
      <c r="F250" s="47"/>
      <c r="G250" s="47">
        <f>F250</f>
        <v>0</v>
      </c>
      <c r="H250" s="330"/>
      <c r="I250" s="47"/>
      <c r="J250" s="476"/>
    </row>
    <row r="251" spans="1:10" x14ac:dyDescent="0.25">
      <c r="A251" s="310"/>
      <c r="B251" s="72" t="s">
        <v>177</v>
      </c>
      <c r="C251" s="46" t="s">
        <v>49</v>
      </c>
      <c r="D251" s="46"/>
      <c r="E251" s="46" t="s">
        <v>106</v>
      </c>
      <c r="F251" s="47">
        <f>F231</f>
        <v>85</v>
      </c>
      <c r="G251" s="47">
        <f>ROUND(D251*F251,2)</f>
        <v>0</v>
      </c>
      <c r="H251" s="330"/>
      <c r="I251" s="47"/>
      <c r="J251" s="477"/>
    </row>
    <row r="252" spans="1:10" x14ac:dyDescent="0.25">
      <c r="A252" s="310"/>
      <c r="B252" s="62" t="s">
        <v>319</v>
      </c>
      <c r="C252" s="46" t="s">
        <v>63</v>
      </c>
      <c r="D252" s="46"/>
      <c r="E252" s="64" t="s">
        <v>407</v>
      </c>
      <c r="F252" s="47">
        <v>0</v>
      </c>
      <c r="G252" s="47">
        <f>F252</f>
        <v>0</v>
      </c>
      <c r="H252" s="330"/>
      <c r="I252" s="47"/>
      <c r="J252" s="452"/>
    </row>
    <row r="253" spans="1:10" x14ac:dyDescent="0.25">
      <c r="A253" s="310"/>
      <c r="B253" s="396"/>
      <c r="C253" s="80"/>
      <c r="D253" s="320"/>
      <c r="E253" s="320"/>
      <c r="F253" s="1"/>
      <c r="G253" s="448"/>
      <c r="H253" s="448"/>
      <c r="I253" s="448"/>
      <c r="J253" s="444"/>
    </row>
    <row r="254" spans="1:10" x14ac:dyDescent="0.25">
      <c r="A254" s="310"/>
      <c r="B254" s="129" t="s">
        <v>444</v>
      </c>
      <c r="C254" s="80"/>
      <c r="D254" s="80"/>
      <c r="E254" s="306" t="s">
        <v>407</v>
      </c>
      <c r="F254" s="1">
        <v>0</v>
      </c>
      <c r="G254" s="448">
        <f>F254</f>
        <v>0</v>
      </c>
      <c r="H254" s="448"/>
      <c r="I254" s="448"/>
      <c r="J254" s="444"/>
    </row>
    <row r="255" spans="1:10" x14ac:dyDescent="0.25">
      <c r="A255" s="310"/>
      <c r="B255" s="129"/>
      <c r="C255" s="80"/>
      <c r="D255" s="81"/>
      <c r="E255" s="15"/>
      <c r="F255" s="1"/>
      <c r="G255" s="448"/>
      <c r="H255" s="448"/>
      <c r="I255" s="448"/>
      <c r="J255" s="444"/>
    </row>
    <row r="256" spans="1:10" x14ac:dyDescent="0.25">
      <c r="A256" s="345">
        <v>16</v>
      </c>
      <c r="B256" s="36" t="s">
        <v>442</v>
      </c>
      <c r="C256" s="23"/>
      <c r="D256" s="23"/>
      <c r="E256" s="37"/>
      <c r="F256" s="25"/>
      <c r="G256" s="38">
        <f>SUM(G215:G254)</f>
        <v>0</v>
      </c>
      <c r="H256" s="38"/>
      <c r="I256" s="38">
        <f>SUM(I215:I254)</f>
        <v>0</v>
      </c>
      <c r="J256" s="111"/>
    </row>
    <row r="257" spans="1:10" x14ac:dyDescent="0.25">
      <c r="B257" s="12"/>
      <c r="E257" s="15"/>
      <c r="F257" s="456"/>
      <c r="G257" s="456"/>
      <c r="H257" s="456"/>
      <c r="I257" s="456"/>
    </row>
    <row r="258" spans="1:10" x14ac:dyDescent="0.25">
      <c r="C258" s="15"/>
      <c r="D258" s="15"/>
      <c r="E258" s="15"/>
      <c r="F258" s="456"/>
      <c r="G258" s="456"/>
      <c r="H258" s="456"/>
      <c r="I258" s="456"/>
    </row>
    <row r="259" spans="1:10" ht="51" x14ac:dyDescent="0.25">
      <c r="A259" s="467" t="s">
        <v>54</v>
      </c>
      <c r="B259" s="483"/>
      <c r="C259" s="446" t="s">
        <v>403</v>
      </c>
      <c r="D259" s="505"/>
      <c r="E259" s="505"/>
      <c r="F259" s="39"/>
      <c r="G259" s="40"/>
      <c r="H259" s="40"/>
      <c r="I259" s="40"/>
    </row>
    <row r="260" spans="1:10" x14ac:dyDescent="0.25">
      <c r="A260" s="22" t="s">
        <v>411</v>
      </c>
      <c r="B260" s="23" t="s">
        <v>419</v>
      </c>
      <c r="C260" s="381">
        <f>G176</f>
        <v>2.4000000000000002E-3</v>
      </c>
      <c r="D260" s="506"/>
      <c r="E260" s="506"/>
      <c r="F260" s="39"/>
    </row>
    <row r="261" spans="1:10" x14ac:dyDescent="0.25">
      <c r="A261" s="22" t="s">
        <v>412</v>
      </c>
      <c r="B261" s="23" t="s">
        <v>496</v>
      </c>
      <c r="C261" s="381">
        <f>G207</f>
        <v>0</v>
      </c>
      <c r="D261" s="506"/>
      <c r="E261" s="506"/>
      <c r="F261" s="39"/>
    </row>
    <row r="262" spans="1:10" x14ac:dyDescent="0.25">
      <c r="A262" s="41"/>
      <c r="C262" s="382"/>
      <c r="D262" s="456"/>
      <c r="E262" s="456"/>
      <c r="F262" s="39"/>
    </row>
    <row r="263" spans="1:10" x14ac:dyDescent="0.25">
      <c r="A263" s="467" t="s">
        <v>414</v>
      </c>
      <c r="B263" s="468"/>
      <c r="C263" s="483"/>
      <c r="D263" s="12"/>
      <c r="E263" s="12"/>
      <c r="F263" s="39"/>
    </row>
    <row r="264" spans="1:10" x14ac:dyDescent="0.25">
      <c r="A264" s="81">
        <v>1</v>
      </c>
      <c r="B264" s="3" t="s">
        <v>413</v>
      </c>
      <c r="C264" s="383">
        <f>SUM(C260:C261)</f>
        <v>2.4000000000000002E-3</v>
      </c>
      <c r="D264" s="506"/>
      <c r="E264" s="506"/>
      <c r="F264" s="39"/>
    </row>
    <row r="265" spans="1:10" x14ac:dyDescent="0.25">
      <c r="A265" s="22">
        <v>2</v>
      </c>
      <c r="B265" s="23" t="s">
        <v>415</v>
      </c>
      <c r="C265" s="383">
        <f>G256</f>
        <v>0</v>
      </c>
      <c r="D265" s="506"/>
      <c r="E265" s="506"/>
      <c r="F265" s="39"/>
    </row>
    <row r="266" spans="1:10" x14ac:dyDescent="0.25">
      <c r="A266" s="384">
        <v>3</v>
      </c>
      <c r="B266" s="385" t="s">
        <v>416</v>
      </c>
      <c r="C266" s="386">
        <f>SUM(C264:C265)</f>
        <v>2.4000000000000002E-3</v>
      </c>
      <c r="D266" s="506"/>
      <c r="E266" s="506"/>
      <c r="F266" s="40"/>
    </row>
    <row r="267" spans="1:10" x14ac:dyDescent="0.25">
      <c r="A267" s="22">
        <v>4</v>
      </c>
      <c r="B267" s="387" t="s">
        <v>417</v>
      </c>
      <c r="C267" s="388">
        <f>C266*0.06</f>
        <v>1.44E-4</v>
      </c>
      <c r="D267" s="506"/>
      <c r="E267" s="506"/>
      <c r="F267" s="8"/>
      <c r="J267" s="303"/>
    </row>
    <row r="268" spans="1:10" x14ac:dyDescent="0.25">
      <c r="A268" s="384">
        <v>5</v>
      </c>
      <c r="B268" s="389" t="s">
        <v>418</v>
      </c>
      <c r="C268" s="390">
        <f>(ROUND((C266+C267),2))</f>
        <v>0</v>
      </c>
      <c r="D268" s="504"/>
      <c r="E268" s="504"/>
      <c r="F268" s="8"/>
      <c r="J268" s="305"/>
    </row>
    <row r="269" spans="1:10" x14ac:dyDescent="0.25">
      <c r="F269" s="8"/>
    </row>
    <row r="270" spans="1:10" x14ac:dyDescent="0.25">
      <c r="A270" s="397"/>
      <c r="B270" s="8" t="s">
        <v>561</v>
      </c>
      <c r="F270" s="8"/>
    </row>
    <row r="271" spans="1:10" x14ac:dyDescent="0.25">
      <c r="F271" s="8"/>
    </row>
    <row r="272" spans="1:10" x14ac:dyDescent="0.25">
      <c r="F272" s="8"/>
    </row>
    <row r="273" spans="6:6" x14ac:dyDescent="0.25">
      <c r="F273" s="8"/>
    </row>
    <row r="274" spans="6:6" x14ac:dyDescent="0.25">
      <c r="F274" s="8"/>
    </row>
    <row r="275" spans="6:6" x14ac:dyDescent="0.25">
      <c r="F275" s="8"/>
    </row>
    <row r="276" spans="6:6" x14ac:dyDescent="0.25">
      <c r="F276" s="8"/>
    </row>
    <row r="277" spans="6:6" x14ac:dyDescent="0.25">
      <c r="F277" s="8"/>
    </row>
    <row r="278" spans="6:6" x14ac:dyDescent="0.25">
      <c r="F278" s="8"/>
    </row>
    <row r="279" spans="6:6" x14ac:dyDescent="0.25">
      <c r="F279" s="8"/>
    </row>
    <row r="280" spans="6:6" x14ac:dyDescent="0.25">
      <c r="F280" s="8"/>
    </row>
    <row r="281" spans="6:6" x14ac:dyDescent="0.25">
      <c r="F281" s="8"/>
    </row>
    <row r="282" spans="6:6" x14ac:dyDescent="0.25">
      <c r="F282" s="8"/>
    </row>
    <row r="283" spans="6:6" x14ac:dyDescent="0.25">
      <c r="F283" s="8"/>
    </row>
    <row r="284" spans="6:6" x14ac:dyDescent="0.25">
      <c r="F284" s="8"/>
    </row>
    <row r="285" spans="6:6" x14ac:dyDescent="0.25">
      <c r="F285" s="8"/>
    </row>
    <row r="286" spans="6:6" x14ac:dyDescent="0.25">
      <c r="F286" s="8"/>
    </row>
    <row r="287" spans="6:6" x14ac:dyDescent="0.25">
      <c r="F287" s="8"/>
    </row>
    <row r="288" spans="6:6" x14ac:dyDescent="0.25">
      <c r="F288" s="8"/>
    </row>
    <row r="289" spans="6:6" x14ac:dyDescent="0.25">
      <c r="F289" s="8"/>
    </row>
    <row r="290" spans="6:6" x14ac:dyDescent="0.25">
      <c r="F290" s="8"/>
    </row>
    <row r="291" spans="6:6" x14ac:dyDescent="0.25">
      <c r="F291" s="8"/>
    </row>
    <row r="292" spans="6:6" x14ac:dyDescent="0.25">
      <c r="F292" s="8"/>
    </row>
    <row r="293" spans="6:6" x14ac:dyDescent="0.25">
      <c r="F293" s="8"/>
    </row>
    <row r="294" spans="6:6" x14ac:dyDescent="0.25">
      <c r="F294" s="8"/>
    </row>
    <row r="295" spans="6:6" x14ac:dyDescent="0.25">
      <c r="F295" s="8"/>
    </row>
    <row r="296" spans="6:6" x14ac:dyDescent="0.25">
      <c r="F296" s="8"/>
    </row>
    <row r="297" spans="6:6" x14ac:dyDescent="0.25">
      <c r="F297" s="8"/>
    </row>
    <row r="298" spans="6:6" x14ac:dyDescent="0.25">
      <c r="F298" s="8"/>
    </row>
    <row r="299" spans="6:6" x14ac:dyDescent="0.25">
      <c r="F299" s="8"/>
    </row>
    <row r="300" spans="6:6" x14ac:dyDescent="0.25">
      <c r="F300" s="8"/>
    </row>
    <row r="301" spans="6:6" x14ac:dyDescent="0.25">
      <c r="F301" s="8"/>
    </row>
    <row r="302" spans="6:6" x14ac:dyDescent="0.25">
      <c r="F302" s="8"/>
    </row>
    <row r="303" spans="6:6" x14ac:dyDescent="0.25">
      <c r="F303" s="8"/>
    </row>
    <row r="304" spans="6:6" x14ac:dyDescent="0.25">
      <c r="F304" s="8"/>
    </row>
    <row r="305" spans="6:6" x14ac:dyDescent="0.25">
      <c r="F305" s="8"/>
    </row>
    <row r="306" spans="6:6" x14ac:dyDescent="0.25">
      <c r="F306" s="8"/>
    </row>
    <row r="307" spans="6:6" x14ac:dyDescent="0.25">
      <c r="F307" s="8"/>
    </row>
    <row r="308" spans="6:6" x14ac:dyDescent="0.25">
      <c r="F308" s="8"/>
    </row>
    <row r="309" spans="6:6" x14ac:dyDescent="0.25">
      <c r="F309" s="8"/>
    </row>
    <row r="310" spans="6:6" x14ac:dyDescent="0.25">
      <c r="F310" s="8"/>
    </row>
    <row r="311" spans="6:6" x14ac:dyDescent="0.25">
      <c r="F311" s="8"/>
    </row>
    <row r="312" spans="6:6" x14ac:dyDescent="0.25">
      <c r="F312" s="8"/>
    </row>
    <row r="313" spans="6:6" x14ac:dyDescent="0.25">
      <c r="F313" s="8"/>
    </row>
    <row r="314" spans="6:6" x14ac:dyDescent="0.25">
      <c r="F314" s="8"/>
    </row>
    <row r="315" spans="6:6" x14ac:dyDescent="0.25">
      <c r="F315" s="8"/>
    </row>
    <row r="316" spans="6:6" x14ac:dyDescent="0.25">
      <c r="F316" s="8"/>
    </row>
    <row r="317" spans="6:6" x14ac:dyDescent="0.25">
      <c r="F317" s="8"/>
    </row>
    <row r="318" spans="6:6" x14ac:dyDescent="0.25">
      <c r="F318" s="8"/>
    </row>
    <row r="319" spans="6:6" x14ac:dyDescent="0.25">
      <c r="F319" s="8"/>
    </row>
    <row r="320" spans="6:6" x14ac:dyDescent="0.25">
      <c r="F320" s="8"/>
    </row>
    <row r="321" spans="6:6" x14ac:dyDescent="0.25">
      <c r="F321" s="8"/>
    </row>
    <row r="322" spans="6:6" x14ac:dyDescent="0.25">
      <c r="F322" s="8"/>
    </row>
    <row r="323" spans="6:6" x14ac:dyDescent="0.25">
      <c r="F323" s="8"/>
    </row>
    <row r="324" spans="6:6" x14ac:dyDescent="0.25">
      <c r="F324" s="8"/>
    </row>
    <row r="325" spans="6:6" x14ac:dyDescent="0.25">
      <c r="F325" s="8"/>
    </row>
    <row r="326" spans="6:6" x14ac:dyDescent="0.25">
      <c r="F326" s="8"/>
    </row>
    <row r="327" spans="6:6" x14ac:dyDescent="0.25">
      <c r="F327" s="8"/>
    </row>
    <row r="328" spans="6:6" x14ac:dyDescent="0.25">
      <c r="F328" s="8"/>
    </row>
    <row r="329" spans="6:6" x14ac:dyDescent="0.25">
      <c r="F329" s="8"/>
    </row>
    <row r="330" spans="6:6" x14ac:dyDescent="0.25">
      <c r="F330" s="8"/>
    </row>
    <row r="331" spans="6:6" x14ac:dyDescent="0.25">
      <c r="F331" s="8"/>
    </row>
    <row r="332" spans="6:6" x14ac:dyDescent="0.25">
      <c r="F332" s="8"/>
    </row>
    <row r="333" spans="6:6" x14ac:dyDescent="0.25">
      <c r="F333" s="8"/>
    </row>
    <row r="334" spans="6:6" x14ac:dyDescent="0.25">
      <c r="F334" s="8"/>
    </row>
    <row r="335" spans="6:6" x14ac:dyDescent="0.25">
      <c r="F335" s="8"/>
    </row>
    <row r="336" spans="6:6" x14ac:dyDescent="0.25">
      <c r="F336" s="8"/>
    </row>
    <row r="337" spans="6:6" x14ac:dyDescent="0.25">
      <c r="F337" s="8"/>
    </row>
    <row r="338" spans="6:6" x14ac:dyDescent="0.25">
      <c r="F338" s="8"/>
    </row>
    <row r="339" spans="6:6" x14ac:dyDescent="0.25">
      <c r="F339" s="8"/>
    </row>
    <row r="340" spans="6:6" x14ac:dyDescent="0.25">
      <c r="F340" s="8"/>
    </row>
    <row r="341" spans="6:6" x14ac:dyDescent="0.25">
      <c r="F341" s="8"/>
    </row>
    <row r="342" spans="6:6" x14ac:dyDescent="0.25">
      <c r="F342" s="8"/>
    </row>
    <row r="343" spans="6:6" x14ac:dyDescent="0.25">
      <c r="F343" s="8"/>
    </row>
    <row r="344" spans="6:6" x14ac:dyDescent="0.25">
      <c r="F344" s="8"/>
    </row>
    <row r="345" spans="6:6" x14ac:dyDescent="0.25">
      <c r="F345" s="8"/>
    </row>
    <row r="346" spans="6:6" x14ac:dyDescent="0.25">
      <c r="F346" s="8"/>
    </row>
    <row r="347" spans="6:6" x14ac:dyDescent="0.25">
      <c r="F347" s="8"/>
    </row>
    <row r="348" spans="6:6" x14ac:dyDescent="0.25">
      <c r="F348" s="8"/>
    </row>
    <row r="349" spans="6:6" x14ac:dyDescent="0.25">
      <c r="F349" s="8"/>
    </row>
    <row r="350" spans="6:6" x14ac:dyDescent="0.25">
      <c r="F350" s="8"/>
    </row>
    <row r="351" spans="6:6" x14ac:dyDescent="0.25">
      <c r="F351" s="8"/>
    </row>
    <row r="352" spans="6:6" x14ac:dyDescent="0.25">
      <c r="F352" s="8"/>
    </row>
    <row r="353" spans="6:6" x14ac:dyDescent="0.25">
      <c r="F353" s="8"/>
    </row>
    <row r="354" spans="6:6" x14ac:dyDescent="0.25">
      <c r="F354" s="8"/>
    </row>
    <row r="355" spans="6:6" x14ac:dyDescent="0.25">
      <c r="F355" s="8"/>
    </row>
    <row r="356" spans="6:6" x14ac:dyDescent="0.25">
      <c r="F356" s="8"/>
    </row>
    <row r="357" spans="6:6" x14ac:dyDescent="0.25">
      <c r="F357" s="8"/>
    </row>
    <row r="358" spans="6:6" x14ac:dyDescent="0.25">
      <c r="F358" s="8"/>
    </row>
    <row r="359" spans="6:6" x14ac:dyDescent="0.25">
      <c r="F359" s="8"/>
    </row>
    <row r="360" spans="6:6" x14ac:dyDescent="0.25">
      <c r="F360" s="8"/>
    </row>
    <row r="361" spans="6:6" x14ac:dyDescent="0.25">
      <c r="F361" s="8"/>
    </row>
    <row r="362" spans="6:6" x14ac:dyDescent="0.25">
      <c r="F362" s="8"/>
    </row>
    <row r="363" spans="6:6" x14ac:dyDescent="0.25">
      <c r="F363" s="8"/>
    </row>
    <row r="364" spans="6:6" x14ac:dyDescent="0.25">
      <c r="F364" s="8"/>
    </row>
    <row r="365" spans="6:6" x14ac:dyDescent="0.25">
      <c r="F365" s="8"/>
    </row>
    <row r="366" spans="6:6" x14ac:dyDescent="0.25">
      <c r="F366" s="8"/>
    </row>
    <row r="367" spans="6:6" x14ac:dyDescent="0.25">
      <c r="F367" s="8"/>
    </row>
    <row r="368" spans="6:6" x14ac:dyDescent="0.25">
      <c r="F368" s="8"/>
    </row>
    <row r="369" spans="6:6" x14ac:dyDescent="0.25">
      <c r="F369" s="8"/>
    </row>
    <row r="370" spans="6:6" x14ac:dyDescent="0.25">
      <c r="F370" s="8"/>
    </row>
    <row r="371" spans="6:6" x14ac:dyDescent="0.25">
      <c r="F371" s="8"/>
    </row>
    <row r="372" spans="6:6" x14ac:dyDescent="0.25">
      <c r="F372" s="8"/>
    </row>
    <row r="373" spans="6:6" x14ac:dyDescent="0.25">
      <c r="F373" s="8"/>
    </row>
    <row r="374" spans="6:6" x14ac:dyDescent="0.25">
      <c r="F374" s="8"/>
    </row>
    <row r="375" spans="6:6" x14ac:dyDescent="0.25">
      <c r="F375" s="8"/>
    </row>
    <row r="376" spans="6:6" x14ac:dyDescent="0.25">
      <c r="F376" s="8"/>
    </row>
    <row r="377" spans="6:6" x14ac:dyDescent="0.25">
      <c r="F377" s="8"/>
    </row>
    <row r="378" spans="6:6" x14ac:dyDescent="0.25">
      <c r="F378" s="8"/>
    </row>
    <row r="379" spans="6:6" x14ac:dyDescent="0.25">
      <c r="F379" s="8"/>
    </row>
    <row r="380" spans="6:6" x14ac:dyDescent="0.25">
      <c r="F380" s="8"/>
    </row>
    <row r="381" spans="6:6" x14ac:dyDescent="0.25">
      <c r="F381" s="8"/>
    </row>
    <row r="382" spans="6:6" x14ac:dyDescent="0.25">
      <c r="F382" s="8"/>
    </row>
    <row r="383" spans="6:6" x14ac:dyDescent="0.25">
      <c r="F383" s="8"/>
    </row>
    <row r="384" spans="6:6" x14ac:dyDescent="0.25">
      <c r="F384" s="8"/>
    </row>
    <row r="385" spans="6:6" x14ac:dyDescent="0.25">
      <c r="F385" s="8"/>
    </row>
    <row r="386" spans="6:6" x14ac:dyDescent="0.25">
      <c r="F386" s="8"/>
    </row>
    <row r="387" spans="6:6" x14ac:dyDescent="0.25">
      <c r="F387" s="8"/>
    </row>
    <row r="388" spans="6:6" x14ac:dyDescent="0.25">
      <c r="F388" s="8"/>
    </row>
    <row r="389" spans="6:6" x14ac:dyDescent="0.25">
      <c r="F389" s="8"/>
    </row>
    <row r="390" spans="6:6" x14ac:dyDescent="0.25">
      <c r="F390" s="8"/>
    </row>
    <row r="391" spans="6:6" x14ac:dyDescent="0.25">
      <c r="F391" s="8"/>
    </row>
    <row r="392" spans="6:6" x14ac:dyDescent="0.25">
      <c r="F392" s="8"/>
    </row>
    <row r="393" spans="6:6" x14ac:dyDescent="0.25">
      <c r="F393" s="8"/>
    </row>
    <row r="394" spans="6:6" x14ac:dyDescent="0.25">
      <c r="F394" s="8"/>
    </row>
    <row r="395" spans="6:6" x14ac:dyDescent="0.25">
      <c r="F395" s="8"/>
    </row>
    <row r="396" spans="6:6" x14ac:dyDescent="0.25">
      <c r="F396" s="8"/>
    </row>
    <row r="397" spans="6:6" x14ac:dyDescent="0.25">
      <c r="F397" s="8"/>
    </row>
    <row r="398" spans="6:6" x14ac:dyDescent="0.25">
      <c r="F398" s="8"/>
    </row>
    <row r="399" spans="6:6" x14ac:dyDescent="0.25">
      <c r="F399" s="8"/>
    </row>
    <row r="400" spans="6:6" x14ac:dyDescent="0.25">
      <c r="F400" s="8"/>
    </row>
    <row r="401" spans="6:6" x14ac:dyDescent="0.25">
      <c r="F401" s="8"/>
    </row>
    <row r="402" spans="6:6" x14ac:dyDescent="0.25">
      <c r="F402" s="8"/>
    </row>
    <row r="403" spans="6:6" x14ac:dyDescent="0.25">
      <c r="F403" s="8"/>
    </row>
    <row r="404" spans="6:6" x14ac:dyDescent="0.25">
      <c r="F404" s="8"/>
    </row>
    <row r="405" spans="6:6" x14ac:dyDescent="0.25">
      <c r="F405" s="8"/>
    </row>
    <row r="406" spans="6:6" x14ac:dyDescent="0.25">
      <c r="F406" s="8"/>
    </row>
    <row r="407" spans="6:6" x14ac:dyDescent="0.25">
      <c r="F407" s="8"/>
    </row>
    <row r="408" spans="6:6" x14ac:dyDescent="0.25">
      <c r="F408" s="8"/>
    </row>
    <row r="409" spans="6:6" x14ac:dyDescent="0.25">
      <c r="F409" s="8"/>
    </row>
    <row r="410" spans="6:6" x14ac:dyDescent="0.25">
      <c r="F410" s="8"/>
    </row>
    <row r="411" spans="6:6" x14ac:dyDescent="0.25">
      <c r="F411" s="8"/>
    </row>
    <row r="412" spans="6:6" x14ac:dyDescent="0.25">
      <c r="F412" s="8"/>
    </row>
    <row r="413" spans="6:6" x14ac:dyDescent="0.25">
      <c r="F413" s="8"/>
    </row>
    <row r="414" spans="6:6" x14ac:dyDescent="0.25">
      <c r="F414" s="8"/>
    </row>
    <row r="415" spans="6:6" x14ac:dyDescent="0.25">
      <c r="F415" s="8"/>
    </row>
    <row r="416" spans="6:6" x14ac:dyDescent="0.25">
      <c r="F416" s="8"/>
    </row>
    <row r="417" spans="6:6" x14ac:dyDescent="0.25">
      <c r="F417" s="8"/>
    </row>
    <row r="418" spans="6:6" x14ac:dyDescent="0.25">
      <c r="F418" s="8"/>
    </row>
    <row r="419" spans="6:6" x14ac:dyDescent="0.25">
      <c r="F419" s="8"/>
    </row>
    <row r="420" spans="6:6" x14ac:dyDescent="0.25">
      <c r="F420" s="8"/>
    </row>
    <row r="421" spans="6:6" x14ac:dyDescent="0.25">
      <c r="F421" s="8"/>
    </row>
    <row r="422" spans="6:6" x14ac:dyDescent="0.25">
      <c r="F422" s="8"/>
    </row>
    <row r="423" spans="6:6" x14ac:dyDescent="0.25">
      <c r="F423" s="8"/>
    </row>
    <row r="424" spans="6:6" x14ac:dyDescent="0.25">
      <c r="F424" s="8"/>
    </row>
    <row r="425" spans="6:6" x14ac:dyDescent="0.25">
      <c r="F425" s="8"/>
    </row>
    <row r="426" spans="6:6" x14ac:dyDescent="0.25">
      <c r="F426" s="8"/>
    </row>
    <row r="427" spans="6:6" x14ac:dyDescent="0.25">
      <c r="F427" s="8"/>
    </row>
    <row r="428" spans="6:6" x14ac:dyDescent="0.25">
      <c r="F428" s="8"/>
    </row>
    <row r="429" spans="6:6" x14ac:dyDescent="0.25">
      <c r="F429" s="8"/>
    </row>
    <row r="430" spans="6:6" x14ac:dyDescent="0.25">
      <c r="F430" s="8"/>
    </row>
    <row r="431" spans="6:6" x14ac:dyDescent="0.25">
      <c r="F431" s="8"/>
    </row>
    <row r="432" spans="6:6" x14ac:dyDescent="0.25">
      <c r="F432" s="8"/>
    </row>
    <row r="433" spans="6:6" x14ac:dyDescent="0.25">
      <c r="F433" s="8"/>
    </row>
    <row r="434" spans="6:6" x14ac:dyDescent="0.25">
      <c r="F434" s="8"/>
    </row>
    <row r="435" spans="6:6" x14ac:dyDescent="0.25">
      <c r="F435" s="8"/>
    </row>
    <row r="436" spans="6:6" x14ac:dyDescent="0.25">
      <c r="F436" s="8"/>
    </row>
    <row r="437" spans="6:6" x14ac:dyDescent="0.25">
      <c r="F437" s="8"/>
    </row>
    <row r="438" spans="6:6" x14ac:dyDescent="0.25">
      <c r="F438" s="8"/>
    </row>
    <row r="439" spans="6:6" x14ac:dyDescent="0.25">
      <c r="F439" s="8"/>
    </row>
    <row r="440" spans="6:6" x14ac:dyDescent="0.25">
      <c r="F440" s="8"/>
    </row>
    <row r="441" spans="6:6" x14ac:dyDescent="0.25">
      <c r="F441" s="8"/>
    </row>
    <row r="442" spans="6:6" x14ac:dyDescent="0.25">
      <c r="F442" s="8"/>
    </row>
    <row r="443" spans="6:6" x14ac:dyDescent="0.25">
      <c r="F443" s="8"/>
    </row>
    <row r="444" spans="6:6" x14ac:dyDescent="0.25">
      <c r="F444" s="8"/>
    </row>
    <row r="445" spans="6:6" x14ac:dyDescent="0.25">
      <c r="F445" s="8"/>
    </row>
    <row r="446" spans="6:6" x14ac:dyDescent="0.25">
      <c r="F446" s="8"/>
    </row>
    <row r="447" spans="6:6" x14ac:dyDescent="0.25">
      <c r="F447" s="8"/>
    </row>
    <row r="448" spans="6:6" x14ac:dyDescent="0.25">
      <c r="F448" s="8"/>
    </row>
    <row r="449" spans="6:6" x14ac:dyDescent="0.25">
      <c r="F449" s="8"/>
    </row>
    <row r="450" spans="6:6" x14ac:dyDescent="0.25">
      <c r="F450" s="8"/>
    </row>
    <row r="451" spans="6:6" x14ac:dyDescent="0.25">
      <c r="F451" s="8"/>
    </row>
    <row r="452" spans="6:6" x14ac:dyDescent="0.25">
      <c r="F452" s="8"/>
    </row>
    <row r="453" spans="6:6" x14ac:dyDescent="0.25">
      <c r="F453" s="8"/>
    </row>
    <row r="454" spans="6:6" x14ac:dyDescent="0.25">
      <c r="F454" s="8"/>
    </row>
    <row r="455" spans="6:6" x14ac:dyDescent="0.25">
      <c r="F455" s="8"/>
    </row>
    <row r="456" spans="6:6" x14ac:dyDescent="0.25">
      <c r="F456" s="8"/>
    </row>
    <row r="457" spans="6:6" x14ac:dyDescent="0.25">
      <c r="F457" s="8"/>
    </row>
    <row r="458" spans="6:6" x14ac:dyDescent="0.25">
      <c r="F458" s="8"/>
    </row>
    <row r="459" spans="6:6" x14ac:dyDescent="0.25">
      <c r="F459" s="8"/>
    </row>
    <row r="460" spans="6:6" x14ac:dyDescent="0.25">
      <c r="F460" s="8"/>
    </row>
    <row r="461" spans="6:6" x14ac:dyDescent="0.25">
      <c r="F461" s="8"/>
    </row>
    <row r="462" spans="6:6" x14ac:dyDescent="0.25">
      <c r="F462" s="8"/>
    </row>
    <row r="463" spans="6:6" x14ac:dyDescent="0.25">
      <c r="F463" s="8"/>
    </row>
    <row r="464" spans="6:6" x14ac:dyDescent="0.25">
      <c r="F464" s="8"/>
    </row>
    <row r="465" spans="6:6" x14ac:dyDescent="0.25">
      <c r="F465" s="8"/>
    </row>
    <row r="466" spans="6:6" x14ac:dyDescent="0.25">
      <c r="F466" s="8"/>
    </row>
    <row r="467" spans="6:6" x14ac:dyDescent="0.25">
      <c r="F467" s="8"/>
    </row>
    <row r="468" spans="6:6" x14ac:dyDescent="0.25">
      <c r="F468" s="8"/>
    </row>
    <row r="469" spans="6:6" x14ac:dyDescent="0.25">
      <c r="F469" s="8"/>
    </row>
    <row r="470" spans="6:6" x14ac:dyDescent="0.25">
      <c r="F470" s="8"/>
    </row>
    <row r="471" spans="6:6" x14ac:dyDescent="0.25">
      <c r="F471" s="8"/>
    </row>
    <row r="472" spans="6:6" x14ac:dyDescent="0.25">
      <c r="F472" s="8"/>
    </row>
    <row r="473" spans="6:6" x14ac:dyDescent="0.25">
      <c r="F473" s="8"/>
    </row>
    <row r="474" spans="6:6" x14ac:dyDescent="0.25">
      <c r="F474" s="8"/>
    </row>
    <row r="475" spans="6:6" x14ac:dyDescent="0.25">
      <c r="F475" s="8"/>
    </row>
    <row r="476" spans="6:6" x14ac:dyDescent="0.25">
      <c r="F476" s="8"/>
    </row>
    <row r="477" spans="6:6" x14ac:dyDescent="0.25">
      <c r="F477" s="8"/>
    </row>
    <row r="478" spans="6:6" x14ac:dyDescent="0.25">
      <c r="F478" s="8"/>
    </row>
    <row r="479" spans="6:6" x14ac:dyDescent="0.25">
      <c r="F479" s="8"/>
    </row>
    <row r="480" spans="6:6" x14ac:dyDescent="0.25">
      <c r="F480" s="8"/>
    </row>
    <row r="481" spans="6:6" x14ac:dyDescent="0.25">
      <c r="F481" s="8"/>
    </row>
    <row r="482" spans="6:6" x14ac:dyDescent="0.25">
      <c r="F482" s="8"/>
    </row>
    <row r="483" spans="6:6" x14ac:dyDescent="0.25">
      <c r="F483" s="8"/>
    </row>
    <row r="484" spans="6:6" x14ac:dyDescent="0.25">
      <c r="F484" s="8"/>
    </row>
    <row r="485" spans="6:6" x14ac:dyDescent="0.25">
      <c r="F485" s="8"/>
    </row>
    <row r="486" spans="6:6" x14ac:dyDescent="0.25">
      <c r="F486" s="8"/>
    </row>
    <row r="487" spans="6:6" x14ac:dyDescent="0.25">
      <c r="F487" s="8"/>
    </row>
    <row r="488" spans="6:6" x14ac:dyDescent="0.25">
      <c r="F488" s="8"/>
    </row>
    <row r="489" spans="6:6" x14ac:dyDescent="0.25">
      <c r="F489" s="8"/>
    </row>
    <row r="490" spans="6:6" x14ac:dyDescent="0.25">
      <c r="F490" s="8"/>
    </row>
    <row r="491" spans="6:6" x14ac:dyDescent="0.25">
      <c r="F491" s="8"/>
    </row>
    <row r="492" spans="6:6" x14ac:dyDescent="0.25">
      <c r="F492" s="8"/>
    </row>
    <row r="493" spans="6:6" x14ac:dyDescent="0.25">
      <c r="F493" s="8"/>
    </row>
    <row r="494" spans="6:6" x14ac:dyDescent="0.25">
      <c r="F494" s="8"/>
    </row>
    <row r="495" spans="6:6" x14ac:dyDescent="0.25">
      <c r="F495" s="8"/>
    </row>
    <row r="496" spans="6:6" x14ac:dyDescent="0.25">
      <c r="F496" s="8"/>
    </row>
    <row r="497" spans="6:6" x14ac:dyDescent="0.25">
      <c r="F497" s="8"/>
    </row>
    <row r="498" spans="6:6" x14ac:dyDescent="0.25">
      <c r="F498" s="8"/>
    </row>
    <row r="499" spans="6:6" x14ac:dyDescent="0.25">
      <c r="F499" s="8"/>
    </row>
    <row r="500" spans="6:6" x14ac:dyDescent="0.25">
      <c r="F500" s="8"/>
    </row>
    <row r="501" spans="6:6" x14ac:dyDescent="0.25">
      <c r="F501" s="8"/>
    </row>
    <row r="502" spans="6:6" x14ac:dyDescent="0.25">
      <c r="F502" s="8"/>
    </row>
    <row r="503" spans="6:6" x14ac:dyDescent="0.25">
      <c r="F503" s="8"/>
    </row>
    <row r="504" spans="6:6" x14ac:dyDescent="0.25">
      <c r="F504" s="8"/>
    </row>
    <row r="505" spans="6:6" x14ac:dyDescent="0.25">
      <c r="F505" s="8"/>
    </row>
    <row r="506" spans="6:6" x14ac:dyDescent="0.25">
      <c r="F506" s="8"/>
    </row>
    <row r="507" spans="6:6" x14ac:dyDescent="0.25">
      <c r="F507" s="8"/>
    </row>
    <row r="508" spans="6:6" x14ac:dyDescent="0.25">
      <c r="F508" s="8"/>
    </row>
    <row r="509" spans="6:6" x14ac:dyDescent="0.25">
      <c r="F509" s="8"/>
    </row>
    <row r="510" spans="6:6" x14ac:dyDescent="0.25">
      <c r="F510" s="8"/>
    </row>
    <row r="511" spans="6:6" x14ac:dyDescent="0.25">
      <c r="F511" s="8"/>
    </row>
    <row r="512" spans="6:6" x14ac:dyDescent="0.25">
      <c r="F512" s="8"/>
    </row>
    <row r="513" spans="6:6" x14ac:dyDescent="0.25">
      <c r="F513" s="8"/>
    </row>
    <row r="514" spans="6:6" x14ac:dyDescent="0.25">
      <c r="F514" s="8"/>
    </row>
    <row r="515" spans="6:6" x14ac:dyDescent="0.25">
      <c r="F515" s="8"/>
    </row>
    <row r="516" spans="6:6" x14ac:dyDescent="0.25">
      <c r="F516" s="8"/>
    </row>
    <row r="517" spans="6:6" x14ac:dyDescent="0.25">
      <c r="F517" s="8"/>
    </row>
    <row r="518" spans="6:6" x14ac:dyDescent="0.25">
      <c r="F518" s="8"/>
    </row>
    <row r="519" spans="6:6" x14ac:dyDescent="0.25">
      <c r="F519" s="8"/>
    </row>
    <row r="520" spans="6:6" x14ac:dyDescent="0.25">
      <c r="F520" s="8"/>
    </row>
    <row r="521" spans="6:6" x14ac:dyDescent="0.25">
      <c r="F521" s="8"/>
    </row>
    <row r="522" spans="6:6" x14ac:dyDescent="0.25">
      <c r="F522" s="8"/>
    </row>
    <row r="523" spans="6:6" x14ac:dyDescent="0.25">
      <c r="F523" s="8"/>
    </row>
    <row r="524" spans="6:6" x14ac:dyDescent="0.25">
      <c r="F524" s="8"/>
    </row>
    <row r="525" spans="6:6" x14ac:dyDescent="0.25">
      <c r="F525" s="8"/>
    </row>
    <row r="526" spans="6:6" x14ac:dyDescent="0.25">
      <c r="F526" s="8"/>
    </row>
    <row r="527" spans="6:6" x14ac:dyDescent="0.25">
      <c r="F527" s="8"/>
    </row>
    <row r="528" spans="6:6" x14ac:dyDescent="0.25">
      <c r="F528" s="8"/>
    </row>
    <row r="529" spans="6:6" x14ac:dyDescent="0.25">
      <c r="F529" s="8"/>
    </row>
    <row r="530" spans="6:6" x14ac:dyDescent="0.25">
      <c r="F530" s="8"/>
    </row>
    <row r="531" spans="6:6" x14ac:dyDescent="0.25">
      <c r="F531" s="8"/>
    </row>
    <row r="532" spans="6:6" x14ac:dyDescent="0.25">
      <c r="F532" s="8"/>
    </row>
    <row r="533" spans="6:6" x14ac:dyDescent="0.25">
      <c r="F533" s="8"/>
    </row>
    <row r="534" spans="6:6" x14ac:dyDescent="0.25">
      <c r="F534" s="8"/>
    </row>
    <row r="535" spans="6:6" x14ac:dyDescent="0.25">
      <c r="F535" s="8"/>
    </row>
    <row r="536" spans="6:6" x14ac:dyDescent="0.25">
      <c r="F536" s="8"/>
    </row>
    <row r="537" spans="6:6" x14ac:dyDescent="0.25">
      <c r="F537" s="8"/>
    </row>
    <row r="538" spans="6:6" x14ac:dyDescent="0.25">
      <c r="F538" s="8"/>
    </row>
    <row r="539" spans="6:6" x14ac:dyDescent="0.25">
      <c r="F539" s="8"/>
    </row>
    <row r="540" spans="6:6" x14ac:dyDescent="0.25">
      <c r="F540" s="8"/>
    </row>
    <row r="541" spans="6:6" x14ac:dyDescent="0.25">
      <c r="F541" s="8"/>
    </row>
    <row r="542" spans="6:6" x14ac:dyDescent="0.25">
      <c r="F542" s="8"/>
    </row>
    <row r="543" spans="6:6" x14ac:dyDescent="0.25">
      <c r="F543" s="8"/>
    </row>
    <row r="544" spans="6:6" x14ac:dyDescent="0.25">
      <c r="F544" s="8"/>
    </row>
    <row r="545" spans="6:6" x14ac:dyDescent="0.25">
      <c r="F545" s="8"/>
    </row>
    <row r="546" spans="6:6" x14ac:dyDescent="0.25">
      <c r="F546" s="8"/>
    </row>
    <row r="547" spans="6:6" x14ac:dyDescent="0.25">
      <c r="F547" s="8"/>
    </row>
    <row r="548" spans="6:6" x14ac:dyDescent="0.25">
      <c r="F548" s="8"/>
    </row>
    <row r="549" spans="6:6" x14ac:dyDescent="0.25">
      <c r="F549" s="8"/>
    </row>
    <row r="550" spans="6:6" x14ac:dyDescent="0.25">
      <c r="F550" s="8"/>
    </row>
    <row r="551" spans="6:6" x14ac:dyDescent="0.25">
      <c r="F551" s="8"/>
    </row>
    <row r="552" spans="6:6" x14ac:dyDescent="0.25">
      <c r="F552" s="8"/>
    </row>
    <row r="553" spans="6:6" x14ac:dyDescent="0.25">
      <c r="F553" s="8"/>
    </row>
    <row r="554" spans="6:6" x14ac:dyDescent="0.25">
      <c r="F554" s="8"/>
    </row>
    <row r="555" spans="6:6" x14ac:dyDescent="0.25">
      <c r="F555" s="8"/>
    </row>
    <row r="556" spans="6:6" x14ac:dyDescent="0.25">
      <c r="F556" s="8"/>
    </row>
    <row r="557" spans="6:6" x14ac:dyDescent="0.25">
      <c r="F557" s="8"/>
    </row>
    <row r="558" spans="6:6" x14ac:dyDescent="0.25">
      <c r="F558" s="8"/>
    </row>
    <row r="559" spans="6:6" x14ac:dyDescent="0.25">
      <c r="F559" s="8"/>
    </row>
    <row r="560" spans="6:6" x14ac:dyDescent="0.25">
      <c r="F560" s="8"/>
    </row>
    <row r="561" spans="6:6" x14ac:dyDescent="0.25">
      <c r="F561" s="8"/>
    </row>
    <row r="562" spans="6:6" x14ac:dyDescent="0.25">
      <c r="F562" s="8"/>
    </row>
    <row r="563" spans="6:6" x14ac:dyDescent="0.25">
      <c r="F563" s="8"/>
    </row>
    <row r="564" spans="6:6" x14ac:dyDescent="0.25">
      <c r="F564" s="8"/>
    </row>
    <row r="565" spans="6:6" x14ac:dyDescent="0.25">
      <c r="F565" s="8"/>
    </row>
    <row r="566" spans="6:6" x14ac:dyDescent="0.25">
      <c r="F566" s="8"/>
    </row>
    <row r="567" spans="6:6" x14ac:dyDescent="0.25">
      <c r="F567" s="8"/>
    </row>
    <row r="568" spans="6:6" x14ac:dyDescent="0.25">
      <c r="F568" s="8"/>
    </row>
    <row r="569" spans="6:6" x14ac:dyDescent="0.25">
      <c r="F569" s="8"/>
    </row>
    <row r="570" spans="6:6" x14ac:dyDescent="0.25">
      <c r="F570" s="8"/>
    </row>
    <row r="571" spans="6:6" x14ac:dyDescent="0.25">
      <c r="F571" s="8"/>
    </row>
    <row r="572" spans="6:6" x14ac:dyDescent="0.25">
      <c r="F572" s="8"/>
    </row>
    <row r="573" spans="6:6" x14ac:dyDescent="0.25">
      <c r="F573" s="8"/>
    </row>
    <row r="574" spans="6:6" x14ac:dyDescent="0.25">
      <c r="F574" s="8"/>
    </row>
    <row r="575" spans="6:6" x14ac:dyDescent="0.25">
      <c r="F575" s="8"/>
    </row>
    <row r="576" spans="6:6" x14ac:dyDescent="0.25">
      <c r="F576" s="8"/>
    </row>
    <row r="577" spans="6:6" x14ac:dyDescent="0.25">
      <c r="F577" s="8"/>
    </row>
    <row r="578" spans="6:6" x14ac:dyDescent="0.25">
      <c r="F578" s="8"/>
    </row>
    <row r="579" spans="6:6" x14ac:dyDescent="0.25">
      <c r="F579" s="8"/>
    </row>
    <row r="580" spans="6:6" x14ac:dyDescent="0.25">
      <c r="F580" s="8"/>
    </row>
    <row r="581" spans="6:6" x14ac:dyDescent="0.25">
      <c r="F581" s="8"/>
    </row>
    <row r="582" spans="6:6" x14ac:dyDescent="0.25">
      <c r="F582" s="8"/>
    </row>
    <row r="583" spans="6:6" x14ac:dyDescent="0.25">
      <c r="F583" s="8"/>
    </row>
    <row r="584" spans="6:6" x14ac:dyDescent="0.25">
      <c r="F584" s="8"/>
    </row>
    <row r="585" spans="6:6" x14ac:dyDescent="0.25">
      <c r="F585" s="8"/>
    </row>
    <row r="586" spans="6:6" x14ac:dyDescent="0.25">
      <c r="F586" s="8"/>
    </row>
    <row r="587" spans="6:6" x14ac:dyDescent="0.25">
      <c r="F587" s="8"/>
    </row>
    <row r="588" spans="6:6" x14ac:dyDescent="0.25">
      <c r="F588" s="8"/>
    </row>
    <row r="589" spans="6:6" x14ac:dyDescent="0.25">
      <c r="F589" s="8"/>
    </row>
    <row r="590" spans="6:6" x14ac:dyDescent="0.25">
      <c r="F590" s="8"/>
    </row>
    <row r="591" spans="6:6" x14ac:dyDescent="0.25">
      <c r="F591" s="8"/>
    </row>
    <row r="592" spans="6:6" x14ac:dyDescent="0.25">
      <c r="F592" s="8"/>
    </row>
    <row r="593" spans="6:6" x14ac:dyDescent="0.25">
      <c r="F593" s="8"/>
    </row>
    <row r="594" spans="6:6" x14ac:dyDescent="0.25">
      <c r="F594" s="8"/>
    </row>
    <row r="595" spans="6:6" x14ac:dyDescent="0.25">
      <c r="F595" s="8"/>
    </row>
    <row r="596" spans="6:6" x14ac:dyDescent="0.25">
      <c r="F596" s="8"/>
    </row>
    <row r="597" spans="6:6" x14ac:dyDescent="0.25">
      <c r="F597" s="8"/>
    </row>
    <row r="598" spans="6:6" x14ac:dyDescent="0.25">
      <c r="F598" s="8"/>
    </row>
    <row r="599" spans="6:6" x14ac:dyDescent="0.25">
      <c r="F599" s="8"/>
    </row>
    <row r="600" spans="6:6" x14ac:dyDescent="0.25">
      <c r="F600" s="8"/>
    </row>
    <row r="601" spans="6:6" x14ac:dyDescent="0.25">
      <c r="F601" s="8"/>
    </row>
    <row r="602" spans="6:6" x14ac:dyDescent="0.25">
      <c r="F602" s="8"/>
    </row>
    <row r="603" spans="6:6" x14ac:dyDescent="0.25">
      <c r="F603" s="8"/>
    </row>
    <row r="604" spans="6:6" x14ac:dyDescent="0.25">
      <c r="F604" s="8"/>
    </row>
    <row r="605" spans="6:6" x14ac:dyDescent="0.25">
      <c r="F605" s="8"/>
    </row>
    <row r="606" spans="6:6" x14ac:dyDescent="0.25">
      <c r="F606" s="8"/>
    </row>
    <row r="607" spans="6:6" x14ac:dyDescent="0.25">
      <c r="F607" s="8"/>
    </row>
    <row r="608" spans="6:6" x14ac:dyDescent="0.25">
      <c r="F608" s="8"/>
    </row>
    <row r="609" spans="6:6" x14ac:dyDescent="0.25">
      <c r="F609" s="8"/>
    </row>
    <row r="610" spans="6:6" x14ac:dyDescent="0.25">
      <c r="F610" s="8"/>
    </row>
    <row r="611" spans="6:6" x14ac:dyDescent="0.25">
      <c r="F611" s="8"/>
    </row>
    <row r="612" spans="6:6" x14ac:dyDescent="0.25">
      <c r="F612" s="8"/>
    </row>
    <row r="613" spans="6:6" x14ac:dyDescent="0.25">
      <c r="F613" s="8"/>
    </row>
    <row r="614" spans="6:6" x14ac:dyDescent="0.25">
      <c r="F614" s="8"/>
    </row>
    <row r="615" spans="6:6" x14ac:dyDescent="0.25">
      <c r="F615" s="8"/>
    </row>
    <row r="616" spans="6:6" x14ac:dyDescent="0.25">
      <c r="F616" s="8"/>
    </row>
    <row r="617" spans="6:6" x14ac:dyDescent="0.25">
      <c r="F617" s="8"/>
    </row>
    <row r="618" spans="6:6" x14ac:dyDescent="0.25">
      <c r="F618" s="8"/>
    </row>
    <row r="619" spans="6:6" x14ac:dyDescent="0.25">
      <c r="F619" s="8"/>
    </row>
    <row r="620" spans="6:6" x14ac:dyDescent="0.25">
      <c r="F620" s="8"/>
    </row>
    <row r="621" spans="6:6" x14ac:dyDescent="0.25">
      <c r="F621" s="8"/>
    </row>
    <row r="622" spans="6:6" x14ac:dyDescent="0.25">
      <c r="F622" s="8"/>
    </row>
    <row r="623" spans="6:6" x14ac:dyDescent="0.25">
      <c r="F623" s="8"/>
    </row>
    <row r="624" spans="6:6" x14ac:dyDescent="0.25">
      <c r="F624" s="8"/>
    </row>
    <row r="625" spans="6:6" x14ac:dyDescent="0.25">
      <c r="F625" s="8"/>
    </row>
    <row r="626" spans="6:6" x14ac:dyDescent="0.25">
      <c r="F626" s="8"/>
    </row>
    <row r="627" spans="6:6" x14ac:dyDescent="0.25">
      <c r="F627" s="8"/>
    </row>
    <row r="628" spans="6:6" x14ac:dyDescent="0.25">
      <c r="F628" s="8"/>
    </row>
    <row r="629" spans="6:6" x14ac:dyDescent="0.25">
      <c r="F629" s="8"/>
    </row>
    <row r="630" spans="6:6" x14ac:dyDescent="0.25">
      <c r="F630" s="8"/>
    </row>
    <row r="631" spans="6:6" x14ac:dyDescent="0.25">
      <c r="F631" s="8"/>
    </row>
    <row r="632" spans="6:6" x14ac:dyDescent="0.25">
      <c r="F632" s="8"/>
    </row>
    <row r="633" spans="6:6" x14ac:dyDescent="0.25">
      <c r="F633" s="8"/>
    </row>
    <row r="634" spans="6:6" x14ac:dyDescent="0.25">
      <c r="F634" s="8"/>
    </row>
    <row r="635" spans="6:6" x14ac:dyDescent="0.25">
      <c r="F635" s="8"/>
    </row>
    <row r="636" spans="6:6" x14ac:dyDescent="0.25">
      <c r="F636" s="8"/>
    </row>
    <row r="637" spans="6:6" x14ac:dyDescent="0.25">
      <c r="F637" s="8"/>
    </row>
    <row r="638" spans="6:6" x14ac:dyDescent="0.25">
      <c r="F638" s="8"/>
    </row>
    <row r="639" spans="6:6" x14ac:dyDescent="0.25">
      <c r="F639" s="8"/>
    </row>
    <row r="640" spans="6:6" x14ac:dyDescent="0.25">
      <c r="F640" s="8"/>
    </row>
    <row r="641" spans="6:6" x14ac:dyDescent="0.25">
      <c r="F641" s="8"/>
    </row>
    <row r="642" spans="6:6" x14ac:dyDescent="0.25">
      <c r="F642" s="8"/>
    </row>
    <row r="643" spans="6:6" x14ac:dyDescent="0.25">
      <c r="F643" s="8"/>
    </row>
    <row r="644" spans="6:6" x14ac:dyDescent="0.25">
      <c r="F644" s="8"/>
    </row>
    <row r="645" spans="6:6" x14ac:dyDescent="0.25">
      <c r="F645" s="8"/>
    </row>
    <row r="646" spans="6:6" x14ac:dyDescent="0.25">
      <c r="F646" s="8"/>
    </row>
    <row r="647" spans="6:6" x14ac:dyDescent="0.25">
      <c r="F647" s="8"/>
    </row>
    <row r="648" spans="6:6" x14ac:dyDescent="0.25">
      <c r="F648" s="8"/>
    </row>
    <row r="649" spans="6:6" x14ac:dyDescent="0.25">
      <c r="F649" s="8"/>
    </row>
    <row r="650" spans="6:6" x14ac:dyDescent="0.25">
      <c r="F650" s="8"/>
    </row>
    <row r="651" spans="6:6" x14ac:dyDescent="0.25">
      <c r="F651" s="8"/>
    </row>
    <row r="652" spans="6:6" x14ac:dyDescent="0.25">
      <c r="F652" s="8"/>
    </row>
    <row r="653" spans="6:6" x14ac:dyDescent="0.25">
      <c r="F653" s="8"/>
    </row>
    <row r="654" spans="6:6" x14ac:dyDescent="0.25">
      <c r="F654" s="8"/>
    </row>
    <row r="655" spans="6:6" x14ac:dyDescent="0.25">
      <c r="F655" s="8"/>
    </row>
    <row r="656" spans="6:6" x14ac:dyDescent="0.25">
      <c r="F656" s="8"/>
    </row>
    <row r="657" spans="6:6" x14ac:dyDescent="0.25">
      <c r="F657" s="8"/>
    </row>
    <row r="658" spans="6:6" x14ac:dyDescent="0.25">
      <c r="F658" s="8"/>
    </row>
    <row r="659" spans="6:6" x14ac:dyDescent="0.25">
      <c r="F659" s="8"/>
    </row>
    <row r="660" spans="6:6" x14ac:dyDescent="0.25">
      <c r="F660" s="8"/>
    </row>
    <row r="661" spans="6:6" x14ac:dyDescent="0.25">
      <c r="F661" s="8"/>
    </row>
    <row r="662" spans="6:6" x14ac:dyDescent="0.25">
      <c r="F662" s="8"/>
    </row>
    <row r="663" spans="6:6" x14ac:dyDescent="0.25">
      <c r="F663" s="8"/>
    </row>
    <row r="664" spans="6:6" x14ac:dyDescent="0.25">
      <c r="F664" s="8"/>
    </row>
    <row r="665" spans="6:6" x14ac:dyDescent="0.25">
      <c r="F665" s="8"/>
    </row>
    <row r="666" spans="6:6" x14ac:dyDescent="0.25">
      <c r="F666" s="8"/>
    </row>
    <row r="667" spans="6:6" x14ac:dyDescent="0.25">
      <c r="F667" s="8"/>
    </row>
    <row r="668" spans="6:6" x14ac:dyDescent="0.25">
      <c r="F668" s="8"/>
    </row>
    <row r="669" spans="6:6" x14ac:dyDescent="0.25">
      <c r="F669" s="8"/>
    </row>
    <row r="670" spans="6:6" x14ac:dyDescent="0.25">
      <c r="F670" s="8"/>
    </row>
    <row r="671" spans="6:6" x14ac:dyDescent="0.25">
      <c r="F671" s="8"/>
    </row>
    <row r="672" spans="6:6" x14ac:dyDescent="0.25">
      <c r="F672" s="8"/>
    </row>
    <row r="673" spans="6:6" x14ac:dyDescent="0.25">
      <c r="F673" s="8"/>
    </row>
    <row r="674" spans="6:6" x14ac:dyDescent="0.25">
      <c r="F674" s="8"/>
    </row>
    <row r="675" spans="6:6" x14ac:dyDescent="0.25">
      <c r="F675" s="8"/>
    </row>
    <row r="676" spans="6:6" x14ac:dyDescent="0.25">
      <c r="F676" s="8"/>
    </row>
    <row r="677" spans="6:6" x14ac:dyDescent="0.25">
      <c r="F677" s="8"/>
    </row>
    <row r="678" spans="6:6" x14ac:dyDescent="0.25">
      <c r="F678" s="8"/>
    </row>
    <row r="679" spans="6:6" x14ac:dyDescent="0.25">
      <c r="F679" s="8"/>
    </row>
    <row r="680" spans="6:6" x14ac:dyDescent="0.25">
      <c r="F680" s="8"/>
    </row>
    <row r="681" spans="6:6" x14ac:dyDescent="0.25">
      <c r="F681" s="8"/>
    </row>
    <row r="682" spans="6:6" x14ac:dyDescent="0.25">
      <c r="F682" s="8"/>
    </row>
    <row r="683" spans="6:6" x14ac:dyDescent="0.25">
      <c r="F683" s="8"/>
    </row>
    <row r="684" spans="6:6" x14ac:dyDescent="0.25">
      <c r="F684" s="8"/>
    </row>
    <row r="685" spans="6:6" x14ac:dyDescent="0.25">
      <c r="F685" s="8"/>
    </row>
    <row r="686" spans="6:6" x14ac:dyDescent="0.25">
      <c r="F686" s="8"/>
    </row>
    <row r="687" spans="6:6" x14ac:dyDescent="0.25">
      <c r="F687" s="8"/>
    </row>
    <row r="688" spans="6:6" x14ac:dyDescent="0.25">
      <c r="F688" s="8"/>
    </row>
    <row r="689" spans="6:6" x14ac:dyDescent="0.25">
      <c r="F689" s="8"/>
    </row>
    <row r="690" spans="6:6" x14ac:dyDescent="0.25">
      <c r="F690" s="8"/>
    </row>
    <row r="691" spans="6:6" x14ac:dyDescent="0.25">
      <c r="F691" s="8"/>
    </row>
    <row r="692" spans="6:6" x14ac:dyDescent="0.25">
      <c r="F692" s="8"/>
    </row>
    <row r="693" spans="6:6" x14ac:dyDescent="0.25">
      <c r="F693" s="8"/>
    </row>
    <row r="694" spans="6:6" x14ac:dyDescent="0.25">
      <c r="F694" s="8"/>
    </row>
    <row r="695" spans="6:6" x14ac:dyDescent="0.25">
      <c r="F695" s="8"/>
    </row>
    <row r="696" spans="6:6" x14ac:dyDescent="0.25">
      <c r="F696" s="8"/>
    </row>
    <row r="697" spans="6:6" x14ac:dyDescent="0.25">
      <c r="F697" s="8"/>
    </row>
    <row r="698" spans="6:6" x14ac:dyDescent="0.25">
      <c r="F698" s="8"/>
    </row>
    <row r="699" spans="6:6" x14ac:dyDescent="0.25">
      <c r="F699" s="8"/>
    </row>
    <row r="700" spans="6:6" x14ac:dyDescent="0.25">
      <c r="F700" s="8"/>
    </row>
    <row r="701" spans="6:6" x14ac:dyDescent="0.25">
      <c r="F701" s="8"/>
    </row>
    <row r="702" spans="6:6" x14ac:dyDescent="0.25">
      <c r="F702" s="8"/>
    </row>
    <row r="703" spans="6:6" x14ac:dyDescent="0.25">
      <c r="F703" s="8"/>
    </row>
    <row r="704" spans="6:6" x14ac:dyDescent="0.25">
      <c r="F704" s="8"/>
    </row>
    <row r="705" spans="6:6" x14ac:dyDescent="0.25">
      <c r="F705" s="8"/>
    </row>
    <row r="706" spans="6:6" x14ac:dyDescent="0.25">
      <c r="F706" s="8"/>
    </row>
    <row r="707" spans="6:6" x14ac:dyDescent="0.25">
      <c r="F707" s="8"/>
    </row>
    <row r="708" spans="6:6" x14ac:dyDescent="0.25">
      <c r="F708" s="8"/>
    </row>
    <row r="709" spans="6:6" x14ac:dyDescent="0.25">
      <c r="F709" s="8"/>
    </row>
    <row r="710" spans="6:6" x14ac:dyDescent="0.25">
      <c r="F710" s="8"/>
    </row>
    <row r="711" spans="6:6" x14ac:dyDescent="0.25">
      <c r="F711" s="8"/>
    </row>
    <row r="712" spans="6:6" x14ac:dyDescent="0.25">
      <c r="F712" s="8"/>
    </row>
    <row r="713" spans="6:6" x14ac:dyDescent="0.25">
      <c r="F713" s="8"/>
    </row>
    <row r="714" spans="6:6" x14ac:dyDescent="0.25">
      <c r="F714" s="8"/>
    </row>
    <row r="715" spans="6:6" x14ac:dyDescent="0.25">
      <c r="F715" s="8"/>
    </row>
    <row r="716" spans="6:6" x14ac:dyDescent="0.25">
      <c r="F716" s="8"/>
    </row>
    <row r="717" spans="6:6" x14ac:dyDescent="0.25">
      <c r="F717" s="8"/>
    </row>
    <row r="718" spans="6:6" x14ac:dyDescent="0.25">
      <c r="F718" s="8"/>
    </row>
    <row r="719" spans="6:6" x14ac:dyDescent="0.25">
      <c r="F719" s="8"/>
    </row>
    <row r="720" spans="6:6" x14ac:dyDescent="0.25">
      <c r="F720" s="8"/>
    </row>
    <row r="721" spans="6:6" x14ac:dyDescent="0.25">
      <c r="F721" s="8"/>
    </row>
    <row r="722" spans="6:6" x14ac:dyDescent="0.25">
      <c r="F722" s="8"/>
    </row>
    <row r="723" spans="6:6" x14ac:dyDescent="0.25">
      <c r="F723" s="8"/>
    </row>
    <row r="724" spans="6:6" x14ac:dyDescent="0.25">
      <c r="F724" s="8"/>
    </row>
    <row r="725" spans="6:6" x14ac:dyDescent="0.25">
      <c r="F725" s="8"/>
    </row>
    <row r="726" spans="6:6" x14ac:dyDescent="0.25">
      <c r="F726" s="8"/>
    </row>
    <row r="727" spans="6:6" x14ac:dyDescent="0.25">
      <c r="F727" s="8"/>
    </row>
    <row r="728" spans="6:6" x14ac:dyDescent="0.25">
      <c r="F728" s="8"/>
    </row>
    <row r="729" spans="6:6" x14ac:dyDescent="0.25">
      <c r="F729" s="8"/>
    </row>
    <row r="730" spans="6:6" x14ac:dyDescent="0.25">
      <c r="F730" s="8"/>
    </row>
    <row r="731" spans="6:6" x14ac:dyDescent="0.25">
      <c r="F731" s="8"/>
    </row>
    <row r="732" spans="6:6" x14ac:dyDescent="0.25">
      <c r="F732" s="8"/>
    </row>
    <row r="733" spans="6:6" x14ac:dyDescent="0.25">
      <c r="F733" s="8"/>
    </row>
    <row r="734" spans="6:6" x14ac:dyDescent="0.25">
      <c r="F734" s="8"/>
    </row>
    <row r="735" spans="6:6" x14ac:dyDescent="0.25">
      <c r="F735" s="8"/>
    </row>
    <row r="736" spans="6:6" x14ac:dyDescent="0.25">
      <c r="F736" s="8"/>
    </row>
    <row r="737" spans="6:6" x14ac:dyDescent="0.25">
      <c r="F737" s="8"/>
    </row>
    <row r="738" spans="6:6" x14ac:dyDescent="0.25">
      <c r="F738" s="8"/>
    </row>
    <row r="739" spans="6:6" x14ac:dyDescent="0.25">
      <c r="F739" s="8"/>
    </row>
    <row r="740" spans="6:6" x14ac:dyDescent="0.25">
      <c r="F740" s="8"/>
    </row>
    <row r="741" spans="6:6" x14ac:dyDescent="0.25">
      <c r="F741" s="8"/>
    </row>
    <row r="742" spans="6:6" x14ac:dyDescent="0.25">
      <c r="F742" s="8"/>
    </row>
    <row r="743" spans="6:6" x14ac:dyDescent="0.25">
      <c r="F743" s="8"/>
    </row>
    <row r="744" spans="6:6" x14ac:dyDescent="0.25">
      <c r="F744" s="8"/>
    </row>
    <row r="745" spans="6:6" x14ac:dyDescent="0.25">
      <c r="F745" s="8"/>
    </row>
    <row r="746" spans="6:6" x14ac:dyDescent="0.25">
      <c r="F746" s="8"/>
    </row>
    <row r="747" spans="6:6" x14ac:dyDescent="0.25">
      <c r="F747" s="8"/>
    </row>
    <row r="748" spans="6:6" x14ac:dyDescent="0.25">
      <c r="F748" s="8"/>
    </row>
    <row r="749" spans="6:6" x14ac:dyDescent="0.25">
      <c r="F749" s="8"/>
    </row>
    <row r="750" spans="6:6" x14ac:dyDescent="0.25">
      <c r="F750" s="8"/>
    </row>
    <row r="751" spans="6:6" x14ac:dyDescent="0.25">
      <c r="F751" s="8"/>
    </row>
    <row r="752" spans="6:6" x14ac:dyDescent="0.25">
      <c r="F752" s="8"/>
    </row>
    <row r="753" spans="6:6" x14ac:dyDescent="0.25">
      <c r="F753" s="8"/>
    </row>
    <row r="754" spans="6:6" x14ac:dyDescent="0.25">
      <c r="F754" s="8"/>
    </row>
    <row r="755" spans="6:6" x14ac:dyDescent="0.25">
      <c r="F755" s="8"/>
    </row>
    <row r="756" spans="6:6" x14ac:dyDescent="0.25">
      <c r="F756" s="8"/>
    </row>
    <row r="757" spans="6:6" x14ac:dyDescent="0.25">
      <c r="F757" s="8"/>
    </row>
    <row r="758" spans="6:6" x14ac:dyDescent="0.25">
      <c r="F758" s="8"/>
    </row>
    <row r="759" spans="6:6" x14ac:dyDescent="0.25">
      <c r="F759" s="8"/>
    </row>
    <row r="760" spans="6:6" x14ac:dyDescent="0.25">
      <c r="F760" s="8"/>
    </row>
    <row r="761" spans="6:6" x14ac:dyDescent="0.25">
      <c r="F761" s="8"/>
    </row>
    <row r="762" spans="6:6" x14ac:dyDescent="0.25">
      <c r="F762" s="8"/>
    </row>
    <row r="763" spans="6:6" x14ac:dyDescent="0.25">
      <c r="F763" s="8"/>
    </row>
    <row r="764" spans="6:6" x14ac:dyDescent="0.25">
      <c r="F764" s="8"/>
    </row>
    <row r="765" spans="6:6" x14ac:dyDescent="0.25">
      <c r="F765" s="8"/>
    </row>
    <row r="766" spans="6:6" x14ac:dyDescent="0.25">
      <c r="F766" s="8"/>
    </row>
    <row r="767" spans="6:6" x14ac:dyDescent="0.25">
      <c r="F767" s="8"/>
    </row>
    <row r="768" spans="6:6" x14ac:dyDescent="0.25">
      <c r="F768" s="8"/>
    </row>
    <row r="769" spans="6:6" x14ac:dyDescent="0.25">
      <c r="F769" s="8"/>
    </row>
    <row r="770" spans="6:6" x14ac:dyDescent="0.25">
      <c r="F770" s="8"/>
    </row>
    <row r="771" spans="6:6" x14ac:dyDescent="0.25">
      <c r="F771" s="8"/>
    </row>
    <row r="772" spans="6:6" x14ac:dyDescent="0.25">
      <c r="F772" s="8"/>
    </row>
    <row r="773" spans="6:6" x14ac:dyDescent="0.25">
      <c r="F773" s="8"/>
    </row>
    <row r="774" spans="6:6" x14ac:dyDescent="0.25">
      <c r="F774" s="8"/>
    </row>
    <row r="775" spans="6:6" x14ac:dyDescent="0.25">
      <c r="F775" s="8"/>
    </row>
    <row r="776" spans="6:6" x14ac:dyDescent="0.25">
      <c r="F776" s="8"/>
    </row>
    <row r="777" spans="6:6" x14ac:dyDescent="0.25">
      <c r="F777" s="8"/>
    </row>
    <row r="778" spans="6:6" x14ac:dyDescent="0.25">
      <c r="F778" s="8"/>
    </row>
    <row r="779" spans="6:6" x14ac:dyDescent="0.25">
      <c r="F779" s="8"/>
    </row>
    <row r="780" spans="6:6" x14ac:dyDescent="0.25">
      <c r="F780" s="8"/>
    </row>
    <row r="781" spans="6:6" x14ac:dyDescent="0.25">
      <c r="F781" s="8"/>
    </row>
    <row r="782" spans="6:6" x14ac:dyDescent="0.25">
      <c r="F782" s="8"/>
    </row>
    <row r="783" spans="6:6" x14ac:dyDescent="0.25">
      <c r="F783" s="8"/>
    </row>
    <row r="784" spans="6:6" x14ac:dyDescent="0.25">
      <c r="F784" s="8"/>
    </row>
    <row r="785" spans="6:6" x14ac:dyDescent="0.25">
      <c r="F785" s="8"/>
    </row>
    <row r="786" spans="6:6" x14ac:dyDescent="0.25">
      <c r="F786" s="8"/>
    </row>
    <row r="787" spans="6:6" x14ac:dyDescent="0.25">
      <c r="F787" s="8"/>
    </row>
    <row r="788" spans="6:6" x14ac:dyDescent="0.25">
      <c r="F788" s="8"/>
    </row>
    <row r="789" spans="6:6" x14ac:dyDescent="0.25">
      <c r="F789" s="8"/>
    </row>
    <row r="790" spans="6:6" x14ac:dyDescent="0.25">
      <c r="F790" s="8"/>
    </row>
    <row r="791" spans="6:6" x14ac:dyDescent="0.25">
      <c r="F791" s="8"/>
    </row>
    <row r="792" spans="6:6" x14ac:dyDescent="0.25">
      <c r="F792" s="8"/>
    </row>
    <row r="793" spans="6:6" x14ac:dyDescent="0.25">
      <c r="F793" s="8"/>
    </row>
    <row r="794" spans="6:6" x14ac:dyDescent="0.25">
      <c r="F794" s="8"/>
    </row>
    <row r="795" spans="6:6" x14ac:dyDescent="0.25">
      <c r="F795" s="8"/>
    </row>
    <row r="796" spans="6:6" x14ac:dyDescent="0.25">
      <c r="F796" s="8"/>
    </row>
    <row r="797" spans="6:6" x14ac:dyDescent="0.25">
      <c r="F797" s="8"/>
    </row>
    <row r="798" spans="6:6" x14ac:dyDescent="0.25">
      <c r="F798" s="8"/>
    </row>
    <row r="799" spans="6:6" x14ac:dyDescent="0.25">
      <c r="F799" s="8"/>
    </row>
    <row r="800" spans="6:6" x14ac:dyDescent="0.25">
      <c r="F800" s="8"/>
    </row>
    <row r="801" spans="6:6" x14ac:dyDescent="0.25">
      <c r="F801" s="8"/>
    </row>
    <row r="802" spans="6:6" x14ac:dyDescent="0.25">
      <c r="F802" s="8"/>
    </row>
    <row r="803" spans="6:6" x14ac:dyDescent="0.25">
      <c r="F803" s="8"/>
    </row>
    <row r="804" spans="6:6" x14ac:dyDescent="0.25">
      <c r="F804" s="8"/>
    </row>
    <row r="805" spans="6:6" x14ac:dyDescent="0.25">
      <c r="F805" s="8"/>
    </row>
    <row r="806" spans="6:6" x14ac:dyDescent="0.25">
      <c r="F806" s="8"/>
    </row>
    <row r="807" spans="6:6" x14ac:dyDescent="0.25">
      <c r="F807" s="8"/>
    </row>
    <row r="808" spans="6:6" x14ac:dyDescent="0.25">
      <c r="F808" s="8"/>
    </row>
    <row r="809" spans="6:6" x14ac:dyDescent="0.25">
      <c r="F809" s="8"/>
    </row>
    <row r="810" spans="6:6" x14ac:dyDescent="0.25">
      <c r="F810" s="8"/>
    </row>
    <row r="811" spans="6:6" x14ac:dyDescent="0.25">
      <c r="F811" s="8"/>
    </row>
    <row r="812" spans="6:6" x14ac:dyDescent="0.25">
      <c r="F812" s="8"/>
    </row>
    <row r="813" spans="6:6" x14ac:dyDescent="0.25">
      <c r="F813" s="8"/>
    </row>
    <row r="814" spans="6:6" x14ac:dyDescent="0.25">
      <c r="F814" s="8"/>
    </row>
    <row r="815" spans="6:6" x14ac:dyDescent="0.25">
      <c r="F815" s="8"/>
    </row>
    <row r="816" spans="6:6" x14ac:dyDescent="0.25">
      <c r="F816" s="8"/>
    </row>
    <row r="817" spans="6:6" x14ac:dyDescent="0.25">
      <c r="F817" s="8"/>
    </row>
    <row r="818" spans="6:6" x14ac:dyDescent="0.25">
      <c r="F818" s="8"/>
    </row>
    <row r="819" spans="6:6" x14ac:dyDescent="0.25">
      <c r="F819" s="8"/>
    </row>
    <row r="820" spans="6:6" x14ac:dyDescent="0.25">
      <c r="F820" s="8"/>
    </row>
    <row r="821" spans="6:6" x14ac:dyDescent="0.25">
      <c r="F821" s="8"/>
    </row>
    <row r="822" spans="6:6" x14ac:dyDescent="0.25">
      <c r="F822" s="8"/>
    </row>
    <row r="823" spans="6:6" x14ac:dyDescent="0.25">
      <c r="F823" s="8"/>
    </row>
    <row r="824" spans="6:6" x14ac:dyDescent="0.25">
      <c r="F824" s="8"/>
    </row>
    <row r="825" spans="6:6" x14ac:dyDescent="0.25">
      <c r="F825" s="8"/>
    </row>
    <row r="826" spans="6:6" x14ac:dyDescent="0.25">
      <c r="F826" s="8"/>
    </row>
    <row r="827" spans="6:6" x14ac:dyDescent="0.25">
      <c r="F827" s="8"/>
    </row>
    <row r="828" spans="6:6" x14ac:dyDescent="0.25">
      <c r="F828" s="8"/>
    </row>
    <row r="829" spans="6:6" x14ac:dyDescent="0.25">
      <c r="F829" s="8"/>
    </row>
    <row r="830" spans="6:6" x14ac:dyDescent="0.25">
      <c r="F830" s="8"/>
    </row>
    <row r="831" spans="6:6" x14ac:dyDescent="0.25">
      <c r="F831" s="8"/>
    </row>
    <row r="832" spans="6:6" x14ac:dyDescent="0.25">
      <c r="F832" s="8"/>
    </row>
    <row r="833" spans="6:6" x14ac:dyDescent="0.25">
      <c r="F833" s="8"/>
    </row>
    <row r="834" spans="6:6" x14ac:dyDescent="0.25">
      <c r="F834" s="8"/>
    </row>
    <row r="835" spans="6:6" x14ac:dyDescent="0.25">
      <c r="F835" s="8"/>
    </row>
    <row r="836" spans="6:6" x14ac:dyDescent="0.25">
      <c r="F836" s="8"/>
    </row>
    <row r="837" spans="6:6" x14ac:dyDescent="0.25">
      <c r="F837" s="8"/>
    </row>
    <row r="838" spans="6:6" x14ac:dyDescent="0.25">
      <c r="F838" s="8"/>
    </row>
    <row r="839" spans="6:6" x14ac:dyDescent="0.25">
      <c r="F839" s="8"/>
    </row>
    <row r="840" spans="6:6" x14ac:dyDescent="0.25">
      <c r="F840" s="8"/>
    </row>
    <row r="841" spans="6:6" x14ac:dyDescent="0.25">
      <c r="F841" s="8"/>
    </row>
    <row r="842" spans="6:6" x14ac:dyDescent="0.25">
      <c r="F842" s="8"/>
    </row>
    <row r="843" spans="6:6" x14ac:dyDescent="0.25">
      <c r="F843" s="8"/>
    </row>
    <row r="844" spans="6:6" x14ac:dyDescent="0.25">
      <c r="F844" s="8"/>
    </row>
    <row r="845" spans="6:6" x14ac:dyDescent="0.25">
      <c r="F845" s="8"/>
    </row>
    <row r="846" spans="6:6" x14ac:dyDescent="0.25">
      <c r="F846" s="8"/>
    </row>
    <row r="847" spans="6:6" x14ac:dyDescent="0.25">
      <c r="F847" s="8"/>
    </row>
    <row r="848" spans="6:6" x14ac:dyDescent="0.25">
      <c r="F848" s="8"/>
    </row>
    <row r="849" spans="6:6" x14ac:dyDescent="0.25">
      <c r="F849" s="8"/>
    </row>
    <row r="850" spans="6:6" x14ac:dyDescent="0.25">
      <c r="F850" s="8"/>
    </row>
    <row r="851" spans="6:6" x14ac:dyDescent="0.25">
      <c r="F851" s="8"/>
    </row>
    <row r="852" spans="6:6" x14ac:dyDescent="0.25">
      <c r="F852" s="8"/>
    </row>
    <row r="853" spans="6:6" x14ac:dyDescent="0.25">
      <c r="F853" s="8"/>
    </row>
    <row r="854" spans="6:6" x14ac:dyDescent="0.25">
      <c r="F854" s="8"/>
    </row>
    <row r="855" spans="6:6" x14ac:dyDescent="0.25">
      <c r="F855" s="8"/>
    </row>
    <row r="856" spans="6:6" x14ac:dyDescent="0.25">
      <c r="F856" s="8"/>
    </row>
    <row r="857" spans="6:6" x14ac:dyDescent="0.25">
      <c r="F857" s="8"/>
    </row>
    <row r="858" spans="6:6" x14ac:dyDescent="0.25">
      <c r="F858" s="8"/>
    </row>
    <row r="859" spans="6:6" x14ac:dyDescent="0.25">
      <c r="F859" s="8"/>
    </row>
    <row r="860" spans="6:6" x14ac:dyDescent="0.25">
      <c r="F860" s="8"/>
    </row>
    <row r="861" spans="6:6" x14ac:dyDescent="0.25">
      <c r="F861" s="8"/>
    </row>
    <row r="862" spans="6:6" x14ac:dyDescent="0.25">
      <c r="F862" s="8"/>
    </row>
    <row r="863" spans="6:6" x14ac:dyDescent="0.25">
      <c r="F863" s="8"/>
    </row>
    <row r="864" spans="6:6" x14ac:dyDescent="0.25">
      <c r="F864" s="8"/>
    </row>
    <row r="865" spans="6:6" x14ac:dyDescent="0.25">
      <c r="F865" s="8"/>
    </row>
    <row r="866" spans="6:6" x14ac:dyDescent="0.25">
      <c r="F866" s="8"/>
    </row>
    <row r="867" spans="6:6" x14ac:dyDescent="0.25">
      <c r="F867" s="8"/>
    </row>
    <row r="868" spans="6:6" x14ac:dyDescent="0.25">
      <c r="F868" s="8"/>
    </row>
    <row r="869" spans="6:6" x14ac:dyDescent="0.25">
      <c r="F869" s="8"/>
    </row>
    <row r="870" spans="6:6" x14ac:dyDescent="0.25">
      <c r="F870" s="8"/>
    </row>
    <row r="871" spans="6:6" x14ac:dyDescent="0.25">
      <c r="F871" s="8"/>
    </row>
    <row r="872" spans="6:6" x14ac:dyDescent="0.25">
      <c r="F872" s="8"/>
    </row>
    <row r="873" spans="6:6" x14ac:dyDescent="0.25">
      <c r="F873" s="8"/>
    </row>
    <row r="874" spans="6:6" x14ac:dyDescent="0.25">
      <c r="F874" s="8"/>
    </row>
    <row r="875" spans="6:6" x14ac:dyDescent="0.25">
      <c r="F875" s="8"/>
    </row>
    <row r="876" spans="6:6" x14ac:dyDescent="0.25">
      <c r="F876" s="8"/>
    </row>
    <row r="877" spans="6:6" x14ac:dyDescent="0.25">
      <c r="F877" s="8"/>
    </row>
    <row r="878" spans="6:6" x14ac:dyDescent="0.25">
      <c r="F878" s="8"/>
    </row>
    <row r="879" spans="6:6" x14ac:dyDescent="0.25">
      <c r="F879" s="8"/>
    </row>
    <row r="880" spans="6:6" x14ac:dyDescent="0.25">
      <c r="F880" s="8"/>
    </row>
    <row r="881" spans="6:6" x14ac:dyDescent="0.25">
      <c r="F881" s="8"/>
    </row>
    <row r="882" spans="6:6" x14ac:dyDescent="0.25">
      <c r="F882" s="8"/>
    </row>
    <row r="883" spans="6:6" x14ac:dyDescent="0.25">
      <c r="F883" s="8"/>
    </row>
    <row r="884" spans="6:6" x14ac:dyDescent="0.25">
      <c r="F884" s="8"/>
    </row>
    <row r="885" spans="6:6" x14ac:dyDescent="0.25">
      <c r="F885" s="8"/>
    </row>
    <row r="886" spans="6:6" x14ac:dyDescent="0.25">
      <c r="F886" s="8"/>
    </row>
    <row r="887" spans="6:6" x14ac:dyDescent="0.25">
      <c r="F887" s="8"/>
    </row>
    <row r="888" spans="6:6" x14ac:dyDescent="0.25">
      <c r="F888" s="8"/>
    </row>
    <row r="889" spans="6:6" x14ac:dyDescent="0.25">
      <c r="F889" s="8"/>
    </row>
    <row r="890" spans="6:6" x14ac:dyDescent="0.25">
      <c r="F890" s="8"/>
    </row>
    <row r="891" spans="6:6" x14ac:dyDescent="0.25">
      <c r="F891" s="8"/>
    </row>
    <row r="892" spans="6:6" x14ac:dyDescent="0.25">
      <c r="F892" s="8"/>
    </row>
    <row r="893" spans="6:6" x14ac:dyDescent="0.25">
      <c r="F893" s="8"/>
    </row>
    <row r="894" spans="6:6" x14ac:dyDescent="0.25">
      <c r="F894" s="8"/>
    </row>
    <row r="895" spans="6:6" x14ac:dyDescent="0.25">
      <c r="F895" s="8"/>
    </row>
    <row r="896" spans="6:6" x14ac:dyDescent="0.25">
      <c r="F896" s="8"/>
    </row>
    <row r="897" spans="6:6" x14ac:dyDescent="0.25">
      <c r="F897" s="8"/>
    </row>
    <row r="898" spans="6:6" x14ac:dyDescent="0.25">
      <c r="F898" s="8"/>
    </row>
    <row r="899" spans="6:6" x14ac:dyDescent="0.25">
      <c r="F899" s="8"/>
    </row>
    <row r="900" spans="6:6" x14ac:dyDescent="0.25">
      <c r="F900" s="8"/>
    </row>
    <row r="901" spans="6:6" x14ac:dyDescent="0.25">
      <c r="F901" s="8"/>
    </row>
    <row r="902" spans="6:6" x14ac:dyDescent="0.25">
      <c r="F902" s="8"/>
    </row>
    <row r="903" spans="6:6" x14ac:dyDescent="0.25">
      <c r="F903" s="8"/>
    </row>
    <row r="904" spans="6:6" x14ac:dyDescent="0.25">
      <c r="F904" s="8"/>
    </row>
    <row r="905" spans="6:6" x14ac:dyDescent="0.25">
      <c r="F905" s="8"/>
    </row>
    <row r="906" spans="6:6" x14ac:dyDescent="0.25">
      <c r="F906" s="8"/>
    </row>
    <row r="907" spans="6:6" x14ac:dyDescent="0.25">
      <c r="F907" s="8"/>
    </row>
    <row r="908" spans="6:6" x14ac:dyDescent="0.25">
      <c r="F908" s="8"/>
    </row>
    <row r="909" spans="6:6" x14ac:dyDescent="0.25">
      <c r="F909" s="8"/>
    </row>
    <row r="910" spans="6:6" x14ac:dyDescent="0.25">
      <c r="F910" s="8"/>
    </row>
    <row r="911" spans="6:6" x14ac:dyDescent="0.25">
      <c r="F911" s="8"/>
    </row>
    <row r="912" spans="6:6" x14ac:dyDescent="0.25">
      <c r="F912" s="8"/>
    </row>
    <row r="913" spans="6:6" x14ac:dyDescent="0.25">
      <c r="F913" s="8"/>
    </row>
    <row r="914" spans="6:6" x14ac:dyDescent="0.25">
      <c r="F914" s="8"/>
    </row>
    <row r="915" spans="6:6" x14ac:dyDescent="0.25">
      <c r="F915" s="8"/>
    </row>
    <row r="916" spans="6:6" x14ac:dyDescent="0.25">
      <c r="F916" s="8"/>
    </row>
    <row r="917" spans="6:6" x14ac:dyDescent="0.25">
      <c r="F917" s="8"/>
    </row>
    <row r="918" spans="6:6" x14ac:dyDescent="0.25">
      <c r="F918" s="8"/>
    </row>
    <row r="919" spans="6:6" x14ac:dyDescent="0.25">
      <c r="F919" s="8"/>
    </row>
    <row r="920" spans="6:6" x14ac:dyDescent="0.25">
      <c r="F920" s="8"/>
    </row>
    <row r="921" spans="6:6" x14ac:dyDescent="0.25">
      <c r="F921" s="8"/>
    </row>
    <row r="922" spans="6:6" x14ac:dyDescent="0.25">
      <c r="F922" s="8"/>
    </row>
    <row r="923" spans="6:6" x14ac:dyDescent="0.25">
      <c r="F923" s="8"/>
    </row>
    <row r="924" spans="6:6" x14ac:dyDescent="0.25">
      <c r="F924" s="8"/>
    </row>
    <row r="925" spans="6:6" x14ac:dyDescent="0.25">
      <c r="F925" s="8"/>
    </row>
    <row r="926" spans="6:6" x14ac:dyDescent="0.25">
      <c r="F926" s="8"/>
    </row>
    <row r="927" spans="6:6" x14ac:dyDescent="0.25">
      <c r="F927" s="8"/>
    </row>
    <row r="928" spans="6:6" x14ac:dyDescent="0.25">
      <c r="F928" s="8"/>
    </row>
    <row r="929" spans="6:6" x14ac:dyDescent="0.25">
      <c r="F929" s="8"/>
    </row>
    <row r="930" spans="6:6" x14ac:dyDescent="0.25">
      <c r="F930" s="8"/>
    </row>
    <row r="931" spans="6:6" x14ac:dyDescent="0.25">
      <c r="F931" s="8"/>
    </row>
    <row r="932" spans="6:6" x14ac:dyDescent="0.25">
      <c r="F932" s="8"/>
    </row>
    <row r="933" spans="6:6" x14ac:dyDescent="0.25">
      <c r="F933" s="8"/>
    </row>
    <row r="934" spans="6:6" x14ac:dyDescent="0.25">
      <c r="F934" s="8"/>
    </row>
    <row r="935" spans="6:6" x14ac:dyDescent="0.25">
      <c r="F935" s="8"/>
    </row>
    <row r="936" spans="6:6" x14ac:dyDescent="0.25">
      <c r="F936" s="8"/>
    </row>
    <row r="937" spans="6:6" x14ac:dyDescent="0.25">
      <c r="F937" s="8"/>
    </row>
    <row r="938" spans="6:6" x14ac:dyDescent="0.25">
      <c r="F938" s="8"/>
    </row>
    <row r="939" spans="6:6" x14ac:dyDescent="0.25">
      <c r="F939" s="8"/>
    </row>
    <row r="940" spans="6:6" x14ac:dyDescent="0.25">
      <c r="F940" s="8"/>
    </row>
    <row r="941" spans="6:6" x14ac:dyDescent="0.25">
      <c r="F941" s="8"/>
    </row>
    <row r="942" spans="6:6" x14ac:dyDescent="0.25">
      <c r="F942" s="8"/>
    </row>
    <row r="943" spans="6:6" x14ac:dyDescent="0.25">
      <c r="F943" s="8"/>
    </row>
    <row r="944" spans="6:6" x14ac:dyDescent="0.25">
      <c r="F944" s="8"/>
    </row>
    <row r="945" spans="6:6" x14ac:dyDescent="0.25">
      <c r="F945" s="8"/>
    </row>
    <row r="946" spans="6:6" x14ac:dyDescent="0.25">
      <c r="F946" s="8"/>
    </row>
    <row r="947" spans="6:6" x14ac:dyDescent="0.25">
      <c r="F947" s="8"/>
    </row>
    <row r="948" spans="6:6" x14ac:dyDescent="0.25">
      <c r="F948" s="8"/>
    </row>
    <row r="949" spans="6:6" x14ac:dyDescent="0.25">
      <c r="F949" s="8"/>
    </row>
    <row r="950" spans="6:6" x14ac:dyDescent="0.25">
      <c r="F950" s="8"/>
    </row>
    <row r="951" spans="6:6" x14ac:dyDescent="0.25">
      <c r="F951" s="8"/>
    </row>
    <row r="952" spans="6:6" x14ac:dyDescent="0.25">
      <c r="F952" s="8"/>
    </row>
    <row r="953" spans="6:6" x14ac:dyDescent="0.25">
      <c r="F953" s="8"/>
    </row>
    <row r="954" spans="6:6" x14ac:dyDescent="0.25">
      <c r="F954" s="8"/>
    </row>
    <row r="955" spans="6:6" x14ac:dyDescent="0.25">
      <c r="F955" s="8"/>
    </row>
    <row r="956" spans="6:6" x14ac:dyDescent="0.25">
      <c r="F956" s="8"/>
    </row>
    <row r="957" spans="6:6" x14ac:dyDescent="0.25">
      <c r="F957" s="8"/>
    </row>
    <row r="958" spans="6:6" x14ac:dyDescent="0.25">
      <c r="F958" s="8"/>
    </row>
    <row r="959" spans="6:6" x14ac:dyDescent="0.25">
      <c r="F959" s="8"/>
    </row>
    <row r="960" spans="6:6" x14ac:dyDescent="0.25">
      <c r="F960" s="8"/>
    </row>
    <row r="961" spans="6:6" x14ac:dyDescent="0.25">
      <c r="F961" s="8"/>
    </row>
    <row r="962" spans="6:6" x14ac:dyDescent="0.25">
      <c r="F962" s="8"/>
    </row>
    <row r="963" spans="6:6" x14ac:dyDescent="0.25">
      <c r="F963" s="8"/>
    </row>
    <row r="964" spans="6:6" x14ac:dyDescent="0.25">
      <c r="F964" s="8"/>
    </row>
    <row r="965" spans="6:6" x14ac:dyDescent="0.25">
      <c r="F965" s="8"/>
    </row>
    <row r="966" spans="6:6" x14ac:dyDescent="0.25">
      <c r="F966" s="8"/>
    </row>
    <row r="967" spans="6:6" x14ac:dyDescent="0.25">
      <c r="F967" s="8"/>
    </row>
    <row r="968" spans="6:6" x14ac:dyDescent="0.25">
      <c r="F968" s="8"/>
    </row>
    <row r="969" spans="6:6" x14ac:dyDescent="0.25">
      <c r="F969" s="8"/>
    </row>
    <row r="970" spans="6:6" x14ac:dyDescent="0.25">
      <c r="F970" s="8"/>
    </row>
    <row r="971" spans="6:6" x14ac:dyDescent="0.25">
      <c r="F971" s="8"/>
    </row>
    <row r="972" spans="6:6" x14ac:dyDescent="0.25">
      <c r="F972" s="8"/>
    </row>
    <row r="973" spans="6:6" x14ac:dyDescent="0.25">
      <c r="F973" s="8"/>
    </row>
    <row r="974" spans="6:6" x14ac:dyDescent="0.25">
      <c r="F974" s="8"/>
    </row>
    <row r="975" spans="6:6" x14ac:dyDescent="0.25">
      <c r="F975" s="8"/>
    </row>
    <row r="976" spans="6:6" x14ac:dyDescent="0.25">
      <c r="F976" s="8"/>
    </row>
    <row r="977" spans="6:6" x14ac:dyDescent="0.25">
      <c r="F977" s="8"/>
    </row>
    <row r="978" spans="6:6" x14ac:dyDescent="0.25">
      <c r="F978" s="8"/>
    </row>
    <row r="979" spans="6:6" x14ac:dyDescent="0.25">
      <c r="F979" s="8"/>
    </row>
    <row r="980" spans="6:6" x14ac:dyDescent="0.25">
      <c r="F980" s="8"/>
    </row>
    <row r="981" spans="6:6" x14ac:dyDescent="0.25">
      <c r="F981" s="8"/>
    </row>
    <row r="982" spans="6:6" x14ac:dyDescent="0.25">
      <c r="F982" s="8"/>
    </row>
    <row r="983" spans="6:6" x14ac:dyDescent="0.25">
      <c r="F983" s="8"/>
    </row>
    <row r="984" spans="6:6" x14ac:dyDescent="0.25">
      <c r="F984" s="8"/>
    </row>
    <row r="985" spans="6:6" x14ac:dyDescent="0.25">
      <c r="F985" s="8"/>
    </row>
    <row r="986" spans="6:6" x14ac:dyDescent="0.25">
      <c r="F986" s="8"/>
    </row>
    <row r="987" spans="6:6" x14ac:dyDescent="0.25">
      <c r="F987" s="8"/>
    </row>
    <row r="988" spans="6:6" x14ac:dyDescent="0.25">
      <c r="F988" s="8"/>
    </row>
    <row r="989" spans="6:6" x14ac:dyDescent="0.25">
      <c r="F989" s="8"/>
    </row>
    <row r="990" spans="6:6" x14ac:dyDescent="0.25">
      <c r="F990" s="8"/>
    </row>
    <row r="991" spans="6:6" x14ac:dyDescent="0.25">
      <c r="F991" s="8"/>
    </row>
    <row r="992" spans="6:6" x14ac:dyDescent="0.25">
      <c r="F992" s="8"/>
    </row>
    <row r="993" spans="6:6" x14ac:dyDescent="0.25">
      <c r="F993" s="8"/>
    </row>
    <row r="994" spans="6:6" x14ac:dyDescent="0.25">
      <c r="F994" s="8"/>
    </row>
    <row r="995" spans="6:6" x14ac:dyDescent="0.25">
      <c r="F995" s="8"/>
    </row>
    <row r="996" spans="6:6" x14ac:dyDescent="0.25">
      <c r="F996" s="8"/>
    </row>
    <row r="997" spans="6:6" x14ac:dyDescent="0.25">
      <c r="F997" s="8"/>
    </row>
    <row r="998" spans="6:6" x14ac:dyDescent="0.25">
      <c r="F998" s="8"/>
    </row>
    <row r="999" spans="6:6" x14ac:dyDescent="0.25">
      <c r="F999" s="8"/>
    </row>
    <row r="1000" spans="6:6" x14ac:dyDescent="0.25">
      <c r="F1000" s="8"/>
    </row>
    <row r="1001" spans="6:6" x14ac:dyDescent="0.25">
      <c r="F1001" s="8"/>
    </row>
    <row r="1002" spans="6:6" x14ac:dyDescent="0.25">
      <c r="F1002" s="8"/>
    </row>
    <row r="1003" spans="6:6" x14ac:dyDescent="0.25">
      <c r="F1003" s="8"/>
    </row>
    <row r="1004" spans="6:6" x14ac:dyDescent="0.25">
      <c r="F1004" s="8"/>
    </row>
    <row r="1005" spans="6:6" x14ac:dyDescent="0.25">
      <c r="F1005" s="8"/>
    </row>
    <row r="1006" spans="6:6" x14ac:dyDescent="0.25">
      <c r="F1006" s="8"/>
    </row>
    <row r="1007" spans="6:6" x14ac:dyDescent="0.25">
      <c r="F1007" s="8"/>
    </row>
    <row r="1008" spans="6:6" x14ac:dyDescent="0.25">
      <c r="F1008" s="8"/>
    </row>
    <row r="1009" spans="6:6" x14ac:dyDescent="0.25">
      <c r="F1009" s="8"/>
    </row>
    <row r="1010" spans="6:6" x14ac:dyDescent="0.25">
      <c r="F1010" s="8"/>
    </row>
    <row r="1011" spans="6:6" x14ac:dyDescent="0.25">
      <c r="F1011" s="8"/>
    </row>
    <row r="1012" spans="6:6" x14ac:dyDescent="0.25">
      <c r="F1012" s="8"/>
    </row>
    <row r="1013" spans="6:6" x14ac:dyDescent="0.25">
      <c r="F1013" s="8"/>
    </row>
    <row r="1014" spans="6:6" x14ac:dyDescent="0.25">
      <c r="F1014" s="8"/>
    </row>
    <row r="1015" spans="6:6" x14ac:dyDescent="0.25">
      <c r="F1015" s="8"/>
    </row>
    <row r="1016" spans="6:6" x14ac:dyDescent="0.25">
      <c r="F1016" s="8"/>
    </row>
    <row r="1017" spans="6:6" x14ac:dyDescent="0.25">
      <c r="F1017" s="8"/>
    </row>
    <row r="1018" spans="6:6" x14ac:dyDescent="0.25">
      <c r="F1018" s="8"/>
    </row>
    <row r="1019" spans="6:6" x14ac:dyDescent="0.25">
      <c r="F1019" s="8"/>
    </row>
    <row r="1020" spans="6:6" x14ac:dyDescent="0.25">
      <c r="F1020" s="8"/>
    </row>
    <row r="1021" spans="6:6" x14ac:dyDescent="0.25">
      <c r="F1021" s="8"/>
    </row>
    <row r="1022" spans="6:6" x14ac:dyDescent="0.25">
      <c r="F1022" s="8"/>
    </row>
    <row r="1023" spans="6:6" x14ac:dyDescent="0.25">
      <c r="F1023" s="8"/>
    </row>
    <row r="1024" spans="6:6" x14ac:dyDescent="0.25">
      <c r="F1024" s="8"/>
    </row>
    <row r="1025" spans="6:6" x14ac:dyDescent="0.25">
      <c r="F1025" s="8"/>
    </row>
    <row r="1026" spans="6:6" x14ac:dyDescent="0.25">
      <c r="F1026" s="8"/>
    </row>
    <row r="1027" spans="6:6" x14ac:dyDescent="0.25">
      <c r="F1027" s="8"/>
    </row>
    <row r="1028" spans="6:6" x14ac:dyDescent="0.25">
      <c r="F1028" s="8"/>
    </row>
    <row r="1029" spans="6:6" x14ac:dyDescent="0.25">
      <c r="F1029" s="8"/>
    </row>
    <row r="1030" spans="6:6" x14ac:dyDescent="0.25">
      <c r="F1030" s="8"/>
    </row>
    <row r="1031" spans="6:6" x14ac:dyDescent="0.25">
      <c r="F1031" s="8"/>
    </row>
    <row r="1032" spans="6:6" x14ac:dyDescent="0.25">
      <c r="F1032" s="8"/>
    </row>
    <row r="1033" spans="6:6" x14ac:dyDescent="0.25">
      <c r="F1033" s="8"/>
    </row>
    <row r="1034" spans="6:6" x14ac:dyDescent="0.25">
      <c r="F1034" s="8"/>
    </row>
    <row r="1035" spans="6:6" x14ac:dyDescent="0.25">
      <c r="F1035" s="8"/>
    </row>
    <row r="1036" spans="6:6" x14ac:dyDescent="0.25">
      <c r="F1036" s="8"/>
    </row>
    <row r="1037" spans="6:6" x14ac:dyDescent="0.25">
      <c r="F1037" s="8"/>
    </row>
    <row r="1038" spans="6:6" x14ac:dyDescent="0.25">
      <c r="F1038" s="8"/>
    </row>
    <row r="1039" spans="6:6" x14ac:dyDescent="0.25">
      <c r="F1039" s="8"/>
    </row>
    <row r="1040" spans="6:6" x14ac:dyDescent="0.25">
      <c r="F1040" s="8"/>
    </row>
    <row r="1041" spans="6:6" x14ac:dyDescent="0.25">
      <c r="F1041" s="8"/>
    </row>
    <row r="1042" spans="6:6" x14ac:dyDescent="0.25">
      <c r="F1042" s="8"/>
    </row>
    <row r="1043" spans="6:6" x14ac:dyDescent="0.25">
      <c r="F1043" s="8"/>
    </row>
    <row r="1044" spans="6:6" x14ac:dyDescent="0.25">
      <c r="F1044" s="8"/>
    </row>
    <row r="1045" spans="6:6" x14ac:dyDescent="0.25">
      <c r="F1045" s="8"/>
    </row>
    <row r="1046" spans="6:6" x14ac:dyDescent="0.25">
      <c r="F1046" s="8"/>
    </row>
    <row r="1047" spans="6:6" x14ac:dyDescent="0.25">
      <c r="F1047" s="8"/>
    </row>
    <row r="1048" spans="6:6" x14ac:dyDescent="0.25">
      <c r="F1048" s="8"/>
    </row>
    <row r="1049" spans="6:6" x14ac:dyDescent="0.25">
      <c r="F1049" s="8"/>
    </row>
    <row r="1050" spans="6:6" x14ac:dyDescent="0.25">
      <c r="F1050" s="8"/>
    </row>
    <row r="1051" spans="6:6" x14ac:dyDescent="0.25">
      <c r="F1051" s="8"/>
    </row>
    <row r="1052" spans="6:6" x14ac:dyDescent="0.25">
      <c r="F1052" s="8"/>
    </row>
    <row r="1053" spans="6:6" x14ac:dyDescent="0.25">
      <c r="F1053" s="8"/>
    </row>
    <row r="1054" spans="6:6" x14ac:dyDescent="0.25">
      <c r="F1054" s="8"/>
    </row>
    <row r="1055" spans="6:6" x14ac:dyDescent="0.25">
      <c r="F1055" s="8"/>
    </row>
    <row r="1056" spans="6:6" x14ac:dyDescent="0.25">
      <c r="F1056" s="8"/>
    </row>
    <row r="1057" spans="6:6" x14ac:dyDescent="0.25">
      <c r="F1057" s="8"/>
    </row>
    <row r="1058" spans="6:6" x14ac:dyDescent="0.25">
      <c r="F1058" s="8"/>
    </row>
    <row r="1059" spans="6:6" x14ac:dyDescent="0.25">
      <c r="F1059" s="8"/>
    </row>
    <row r="1060" spans="6:6" x14ac:dyDescent="0.25">
      <c r="F1060" s="8"/>
    </row>
    <row r="1061" spans="6:6" x14ac:dyDescent="0.25">
      <c r="F1061" s="8"/>
    </row>
    <row r="1062" spans="6:6" x14ac:dyDescent="0.25">
      <c r="F1062" s="8"/>
    </row>
    <row r="1063" spans="6:6" x14ac:dyDescent="0.25">
      <c r="F1063" s="8"/>
    </row>
    <row r="1064" spans="6:6" x14ac:dyDescent="0.25">
      <c r="F1064" s="8"/>
    </row>
    <row r="1065" spans="6:6" x14ac:dyDescent="0.25">
      <c r="F1065" s="8"/>
    </row>
    <row r="1066" spans="6:6" x14ac:dyDescent="0.25">
      <c r="F1066" s="8"/>
    </row>
    <row r="1067" spans="6:6" x14ac:dyDescent="0.25">
      <c r="F1067" s="8"/>
    </row>
    <row r="1068" spans="6:6" x14ac:dyDescent="0.25">
      <c r="F1068" s="8"/>
    </row>
    <row r="1069" spans="6:6" x14ac:dyDescent="0.25">
      <c r="F1069" s="8"/>
    </row>
    <row r="1070" spans="6:6" x14ac:dyDescent="0.25">
      <c r="F1070" s="8"/>
    </row>
    <row r="1071" spans="6:6" x14ac:dyDescent="0.25">
      <c r="F1071" s="8"/>
    </row>
    <row r="1072" spans="6:6" x14ac:dyDescent="0.25">
      <c r="F1072" s="8"/>
    </row>
    <row r="1073" spans="6:6" x14ac:dyDescent="0.25">
      <c r="F1073" s="8"/>
    </row>
    <row r="1074" spans="6:6" x14ac:dyDescent="0.25">
      <c r="F1074" s="8"/>
    </row>
    <row r="1075" spans="6:6" x14ac:dyDescent="0.25">
      <c r="F1075" s="8"/>
    </row>
    <row r="1076" spans="6:6" x14ac:dyDescent="0.25">
      <c r="F1076" s="8"/>
    </row>
    <row r="1077" spans="6:6" x14ac:dyDescent="0.25">
      <c r="F1077" s="8"/>
    </row>
    <row r="1078" spans="6:6" x14ac:dyDescent="0.25">
      <c r="F1078" s="8"/>
    </row>
    <row r="1079" spans="6:6" x14ac:dyDescent="0.25">
      <c r="F1079" s="8"/>
    </row>
    <row r="1080" spans="6:6" x14ac:dyDescent="0.25">
      <c r="F1080" s="8"/>
    </row>
    <row r="1081" spans="6:6" x14ac:dyDescent="0.25">
      <c r="F1081" s="8"/>
    </row>
    <row r="1082" spans="6:6" x14ac:dyDescent="0.25">
      <c r="F1082" s="8"/>
    </row>
    <row r="1083" spans="6:6" x14ac:dyDescent="0.25">
      <c r="F1083" s="8"/>
    </row>
    <row r="1084" spans="6:6" x14ac:dyDescent="0.25">
      <c r="F1084" s="8"/>
    </row>
    <row r="1085" spans="6:6" x14ac:dyDescent="0.25">
      <c r="F1085" s="8"/>
    </row>
    <row r="1086" spans="6:6" x14ac:dyDescent="0.25">
      <c r="F1086" s="8"/>
    </row>
    <row r="1087" spans="6:6" x14ac:dyDescent="0.25">
      <c r="F1087" s="8"/>
    </row>
    <row r="1088" spans="6:6" x14ac:dyDescent="0.25">
      <c r="F1088" s="8"/>
    </row>
    <row r="1089" spans="6:6" x14ac:dyDescent="0.25">
      <c r="F1089" s="8"/>
    </row>
    <row r="1090" spans="6:6" x14ac:dyDescent="0.25">
      <c r="F1090" s="8"/>
    </row>
    <row r="1091" spans="6:6" x14ac:dyDescent="0.25">
      <c r="F1091" s="8"/>
    </row>
    <row r="1092" spans="6:6" x14ac:dyDescent="0.25">
      <c r="F1092" s="8"/>
    </row>
    <row r="1093" spans="6:6" x14ac:dyDescent="0.25">
      <c r="F1093" s="8"/>
    </row>
    <row r="1094" spans="6:6" x14ac:dyDescent="0.25">
      <c r="F1094" s="8"/>
    </row>
    <row r="1095" spans="6:6" x14ac:dyDescent="0.25">
      <c r="F1095" s="8"/>
    </row>
    <row r="1096" spans="6:6" x14ac:dyDescent="0.25">
      <c r="F1096" s="8"/>
    </row>
    <row r="1097" spans="6:6" x14ac:dyDescent="0.25">
      <c r="F1097" s="8"/>
    </row>
    <row r="1098" spans="6:6" x14ac:dyDescent="0.25">
      <c r="F1098" s="8"/>
    </row>
    <row r="1099" spans="6:6" x14ac:dyDescent="0.25">
      <c r="F1099" s="8"/>
    </row>
    <row r="1100" spans="6:6" x14ac:dyDescent="0.25">
      <c r="F1100" s="8"/>
    </row>
    <row r="1101" spans="6:6" x14ac:dyDescent="0.25">
      <c r="F1101" s="8"/>
    </row>
    <row r="1102" spans="6:6" x14ac:dyDescent="0.25">
      <c r="F1102" s="8"/>
    </row>
    <row r="1103" spans="6:6" x14ac:dyDescent="0.25">
      <c r="F1103" s="8"/>
    </row>
    <row r="1104" spans="6:6" x14ac:dyDescent="0.25">
      <c r="F1104" s="8"/>
    </row>
    <row r="1105" spans="6:6" x14ac:dyDescent="0.25">
      <c r="F1105" s="8"/>
    </row>
    <row r="1106" spans="6:6" x14ac:dyDescent="0.25">
      <c r="F1106" s="8"/>
    </row>
    <row r="1107" spans="6:6" x14ac:dyDescent="0.25">
      <c r="F1107" s="8"/>
    </row>
    <row r="1108" spans="6:6" x14ac:dyDescent="0.25">
      <c r="F1108" s="8"/>
    </row>
    <row r="1109" spans="6:6" x14ac:dyDescent="0.25">
      <c r="F1109" s="8"/>
    </row>
    <row r="1110" spans="6:6" x14ac:dyDescent="0.25">
      <c r="F1110" s="8"/>
    </row>
    <row r="1111" spans="6:6" x14ac:dyDescent="0.25">
      <c r="F1111" s="8"/>
    </row>
    <row r="1112" spans="6:6" x14ac:dyDescent="0.25">
      <c r="F1112" s="8"/>
    </row>
    <row r="1113" spans="6:6" x14ac:dyDescent="0.25">
      <c r="F1113" s="8"/>
    </row>
    <row r="1114" spans="6:6" x14ac:dyDescent="0.25">
      <c r="F1114" s="8"/>
    </row>
    <row r="1115" spans="6:6" x14ac:dyDescent="0.25">
      <c r="F1115" s="8"/>
    </row>
    <row r="1116" spans="6:6" x14ac:dyDescent="0.25">
      <c r="F1116" s="8"/>
    </row>
    <row r="1117" spans="6:6" x14ac:dyDescent="0.25">
      <c r="F1117" s="8"/>
    </row>
    <row r="1118" spans="6:6" x14ac:dyDescent="0.25">
      <c r="F1118" s="8"/>
    </row>
    <row r="1119" spans="6:6" x14ac:dyDescent="0.25">
      <c r="F1119" s="8"/>
    </row>
    <row r="1120" spans="6:6" x14ac:dyDescent="0.25">
      <c r="F1120" s="8"/>
    </row>
    <row r="1121" spans="6:6" x14ac:dyDescent="0.25">
      <c r="F1121" s="8"/>
    </row>
    <row r="1122" spans="6:6" x14ac:dyDescent="0.25">
      <c r="F1122" s="8"/>
    </row>
    <row r="1123" spans="6:6" x14ac:dyDescent="0.25">
      <c r="F1123" s="8"/>
    </row>
    <row r="1124" spans="6:6" x14ac:dyDescent="0.25">
      <c r="F1124" s="8"/>
    </row>
    <row r="1125" spans="6:6" x14ac:dyDescent="0.25">
      <c r="F1125" s="8"/>
    </row>
    <row r="1126" spans="6:6" x14ac:dyDescent="0.25">
      <c r="F1126" s="8"/>
    </row>
    <row r="1127" spans="6:6" x14ac:dyDescent="0.25">
      <c r="F1127" s="8"/>
    </row>
    <row r="1128" spans="6:6" x14ac:dyDescent="0.25">
      <c r="F1128" s="8"/>
    </row>
    <row r="1129" spans="6:6" x14ac:dyDescent="0.25">
      <c r="F1129" s="8"/>
    </row>
    <row r="1130" spans="6:6" x14ac:dyDescent="0.25">
      <c r="F1130" s="8"/>
    </row>
    <row r="1131" spans="6:6" x14ac:dyDescent="0.25">
      <c r="F1131" s="8"/>
    </row>
    <row r="1132" spans="6:6" x14ac:dyDescent="0.25">
      <c r="F1132" s="8"/>
    </row>
    <row r="1133" spans="6:6" x14ac:dyDescent="0.25">
      <c r="F1133" s="8"/>
    </row>
    <row r="1134" spans="6:6" x14ac:dyDescent="0.25">
      <c r="F1134" s="8"/>
    </row>
    <row r="1135" spans="6:6" x14ac:dyDescent="0.25">
      <c r="F1135" s="8"/>
    </row>
    <row r="1136" spans="6:6" x14ac:dyDescent="0.25">
      <c r="F1136" s="8"/>
    </row>
    <row r="1137" spans="6:6" x14ac:dyDescent="0.25">
      <c r="F1137" s="8"/>
    </row>
    <row r="1138" spans="6:6" x14ac:dyDescent="0.25">
      <c r="F1138" s="8"/>
    </row>
    <row r="1139" spans="6:6" x14ac:dyDescent="0.25">
      <c r="F1139" s="8"/>
    </row>
    <row r="1140" spans="6:6" x14ac:dyDescent="0.25">
      <c r="F1140" s="8"/>
    </row>
    <row r="1141" spans="6:6" x14ac:dyDescent="0.25">
      <c r="F1141" s="8"/>
    </row>
    <row r="1142" spans="6:6" x14ac:dyDescent="0.25">
      <c r="F1142" s="8"/>
    </row>
    <row r="1143" spans="6:6" x14ac:dyDescent="0.25">
      <c r="F1143" s="8"/>
    </row>
    <row r="1144" spans="6:6" x14ac:dyDescent="0.25">
      <c r="F1144" s="8"/>
    </row>
    <row r="1145" spans="6:6" x14ac:dyDescent="0.25">
      <c r="F1145" s="8"/>
    </row>
    <row r="1146" spans="6:6" x14ac:dyDescent="0.25">
      <c r="F1146" s="8"/>
    </row>
    <row r="1147" spans="6:6" x14ac:dyDescent="0.25">
      <c r="F1147" s="8"/>
    </row>
    <row r="1148" spans="6:6" x14ac:dyDescent="0.25">
      <c r="F1148" s="8"/>
    </row>
    <row r="1149" spans="6:6" x14ac:dyDescent="0.25">
      <c r="F1149" s="8"/>
    </row>
    <row r="1150" spans="6:6" x14ac:dyDescent="0.25">
      <c r="F1150" s="8"/>
    </row>
    <row r="1151" spans="6:6" x14ac:dyDescent="0.25">
      <c r="F1151" s="8"/>
    </row>
    <row r="1152" spans="6:6" x14ac:dyDescent="0.25">
      <c r="F1152" s="8"/>
    </row>
    <row r="1153" spans="6:6" x14ac:dyDescent="0.25">
      <c r="F1153" s="8"/>
    </row>
    <row r="1154" spans="6:6" x14ac:dyDescent="0.25">
      <c r="F1154" s="8"/>
    </row>
    <row r="1155" spans="6:6" x14ac:dyDescent="0.25">
      <c r="F1155" s="8"/>
    </row>
    <row r="1156" spans="6:6" x14ac:dyDescent="0.25">
      <c r="F1156" s="8"/>
    </row>
    <row r="1157" spans="6:6" x14ac:dyDescent="0.25">
      <c r="F1157" s="8"/>
    </row>
    <row r="1158" spans="6:6" x14ac:dyDescent="0.25">
      <c r="F1158" s="8"/>
    </row>
    <row r="1159" spans="6:6" x14ac:dyDescent="0.25">
      <c r="F1159" s="8"/>
    </row>
    <row r="1160" spans="6:6" x14ac:dyDescent="0.25">
      <c r="F1160" s="8"/>
    </row>
    <row r="1161" spans="6:6" x14ac:dyDescent="0.25">
      <c r="F1161" s="8"/>
    </row>
    <row r="1162" spans="6:6" x14ac:dyDescent="0.25">
      <c r="F1162" s="8"/>
    </row>
    <row r="1163" spans="6:6" x14ac:dyDescent="0.25">
      <c r="F1163" s="8"/>
    </row>
    <row r="1164" spans="6:6" x14ac:dyDescent="0.25">
      <c r="F1164" s="8"/>
    </row>
    <row r="1165" spans="6:6" x14ac:dyDescent="0.25">
      <c r="F1165" s="8"/>
    </row>
    <row r="1166" spans="6:6" x14ac:dyDescent="0.25">
      <c r="F1166" s="8"/>
    </row>
    <row r="1167" spans="6:6" x14ac:dyDescent="0.25">
      <c r="F1167" s="8"/>
    </row>
    <row r="1168" spans="6:6" x14ac:dyDescent="0.25">
      <c r="F1168" s="8"/>
    </row>
    <row r="1169" spans="6:6" x14ac:dyDescent="0.25">
      <c r="F1169" s="8"/>
    </row>
    <row r="1170" spans="6:6" x14ac:dyDescent="0.25">
      <c r="F1170" s="8"/>
    </row>
    <row r="1171" spans="6:6" x14ac:dyDescent="0.25">
      <c r="F1171" s="8"/>
    </row>
    <row r="1172" spans="6:6" x14ac:dyDescent="0.25">
      <c r="F1172" s="8"/>
    </row>
    <row r="1173" spans="6:6" x14ac:dyDescent="0.25">
      <c r="F1173" s="8"/>
    </row>
    <row r="1174" spans="6:6" x14ac:dyDescent="0.25">
      <c r="F1174" s="8"/>
    </row>
    <row r="1175" spans="6:6" x14ac:dyDescent="0.25">
      <c r="F1175" s="8"/>
    </row>
    <row r="1176" spans="6:6" x14ac:dyDescent="0.25">
      <c r="F1176" s="8"/>
    </row>
    <row r="1177" spans="6:6" x14ac:dyDescent="0.25">
      <c r="F1177" s="8"/>
    </row>
    <row r="1178" spans="6:6" x14ac:dyDescent="0.25">
      <c r="F1178" s="8"/>
    </row>
    <row r="1179" spans="6:6" x14ac:dyDescent="0.25">
      <c r="F1179" s="8"/>
    </row>
    <row r="1180" spans="6:6" x14ac:dyDescent="0.25">
      <c r="F1180" s="8"/>
    </row>
    <row r="1181" spans="6:6" x14ac:dyDescent="0.25">
      <c r="F1181" s="8"/>
    </row>
    <row r="1182" spans="6:6" x14ac:dyDescent="0.25">
      <c r="F1182" s="8"/>
    </row>
    <row r="1183" spans="6:6" x14ac:dyDescent="0.25">
      <c r="F1183" s="8"/>
    </row>
    <row r="1184" spans="6:6" x14ac:dyDescent="0.25">
      <c r="F1184" s="8"/>
    </row>
    <row r="1185" spans="6:6" x14ac:dyDescent="0.25">
      <c r="F1185" s="8"/>
    </row>
    <row r="1186" spans="6:6" x14ac:dyDescent="0.25">
      <c r="F1186" s="8"/>
    </row>
    <row r="1187" spans="6:6" x14ac:dyDescent="0.25">
      <c r="F1187" s="8"/>
    </row>
    <row r="1188" spans="6:6" x14ac:dyDescent="0.25">
      <c r="F1188" s="8"/>
    </row>
    <row r="1189" spans="6:6" x14ac:dyDescent="0.25">
      <c r="F1189" s="8"/>
    </row>
    <row r="1190" spans="6:6" x14ac:dyDescent="0.25">
      <c r="F1190" s="8"/>
    </row>
    <row r="1191" spans="6:6" x14ac:dyDescent="0.25">
      <c r="F1191" s="8"/>
    </row>
    <row r="1192" spans="6:6" x14ac:dyDescent="0.25">
      <c r="F1192" s="8"/>
    </row>
    <row r="1193" spans="6:6" x14ac:dyDescent="0.25">
      <c r="F1193" s="8"/>
    </row>
    <row r="1194" spans="6:6" x14ac:dyDescent="0.25">
      <c r="F1194" s="8"/>
    </row>
    <row r="1195" spans="6:6" x14ac:dyDescent="0.25">
      <c r="F1195" s="8"/>
    </row>
    <row r="1196" spans="6:6" x14ac:dyDescent="0.25">
      <c r="F1196" s="8"/>
    </row>
    <row r="1197" spans="6:6" x14ac:dyDescent="0.25">
      <c r="F1197" s="8"/>
    </row>
    <row r="1198" spans="6:6" x14ac:dyDescent="0.25">
      <c r="F1198" s="8"/>
    </row>
    <row r="1199" spans="6:6" x14ac:dyDescent="0.25">
      <c r="F1199" s="8"/>
    </row>
    <row r="1200" spans="6:6" x14ac:dyDescent="0.25">
      <c r="F1200" s="8"/>
    </row>
    <row r="1201" spans="6:6" x14ac:dyDescent="0.25">
      <c r="F1201" s="8"/>
    </row>
    <row r="1202" spans="6:6" x14ac:dyDescent="0.25">
      <c r="F1202" s="8"/>
    </row>
    <row r="1203" spans="6:6" x14ac:dyDescent="0.25">
      <c r="F1203" s="8"/>
    </row>
    <row r="1204" spans="6:6" x14ac:dyDescent="0.25">
      <c r="F1204" s="8"/>
    </row>
    <row r="1205" spans="6:6" x14ac:dyDescent="0.25">
      <c r="F1205" s="8"/>
    </row>
    <row r="1206" spans="6:6" x14ac:dyDescent="0.25">
      <c r="F1206" s="8"/>
    </row>
    <row r="1207" spans="6:6" x14ac:dyDescent="0.25">
      <c r="F1207" s="8"/>
    </row>
    <row r="1208" spans="6:6" x14ac:dyDescent="0.25">
      <c r="F1208" s="8"/>
    </row>
    <row r="1209" spans="6:6" x14ac:dyDescent="0.25">
      <c r="F1209" s="8"/>
    </row>
    <row r="1210" spans="6:6" x14ac:dyDescent="0.25">
      <c r="F1210" s="8"/>
    </row>
    <row r="1211" spans="6:6" x14ac:dyDescent="0.25">
      <c r="F1211" s="8"/>
    </row>
    <row r="1212" spans="6:6" x14ac:dyDescent="0.25">
      <c r="F1212" s="8"/>
    </row>
    <row r="1213" spans="6:6" x14ac:dyDescent="0.25">
      <c r="F1213" s="8"/>
    </row>
    <row r="1214" spans="6:6" x14ac:dyDescent="0.25">
      <c r="F1214" s="8"/>
    </row>
    <row r="1215" spans="6:6" x14ac:dyDescent="0.25">
      <c r="F1215" s="8"/>
    </row>
    <row r="1216" spans="6:6" x14ac:dyDescent="0.25">
      <c r="F1216" s="8"/>
    </row>
    <row r="1217" spans="6:6" x14ac:dyDescent="0.25">
      <c r="F1217" s="8"/>
    </row>
    <row r="1218" spans="6:6" x14ac:dyDescent="0.25">
      <c r="F1218" s="8"/>
    </row>
    <row r="1219" spans="6:6" x14ac:dyDescent="0.25">
      <c r="F1219" s="8"/>
    </row>
    <row r="1220" spans="6:6" x14ac:dyDescent="0.25">
      <c r="F1220" s="8"/>
    </row>
    <row r="1221" spans="6:6" x14ac:dyDescent="0.25">
      <c r="F1221" s="8"/>
    </row>
    <row r="1222" spans="6:6" x14ac:dyDescent="0.25">
      <c r="F1222" s="8"/>
    </row>
    <row r="1223" spans="6:6" x14ac:dyDescent="0.25">
      <c r="F1223" s="8"/>
    </row>
    <row r="1224" spans="6:6" x14ac:dyDescent="0.25">
      <c r="F1224" s="8"/>
    </row>
    <row r="1225" spans="6:6" x14ac:dyDescent="0.25">
      <c r="F1225" s="8"/>
    </row>
    <row r="1226" spans="6:6" x14ac:dyDescent="0.25">
      <c r="F1226" s="8"/>
    </row>
    <row r="1227" spans="6:6" x14ac:dyDescent="0.25">
      <c r="F1227" s="8"/>
    </row>
    <row r="1228" spans="6:6" x14ac:dyDescent="0.25">
      <c r="F1228" s="8"/>
    </row>
    <row r="1229" spans="6:6" x14ac:dyDescent="0.25">
      <c r="F1229" s="8"/>
    </row>
    <row r="1230" spans="6:6" x14ac:dyDescent="0.25">
      <c r="F1230" s="8"/>
    </row>
    <row r="1231" spans="6:6" x14ac:dyDescent="0.25">
      <c r="F1231" s="8"/>
    </row>
    <row r="1232" spans="6:6" x14ac:dyDescent="0.25">
      <c r="F1232" s="8"/>
    </row>
    <row r="1233" spans="6:6" x14ac:dyDescent="0.25">
      <c r="F1233" s="8"/>
    </row>
    <row r="1234" spans="6:6" x14ac:dyDescent="0.25">
      <c r="F1234" s="8"/>
    </row>
    <row r="1235" spans="6:6" x14ac:dyDescent="0.25">
      <c r="F1235" s="8"/>
    </row>
    <row r="1236" spans="6:6" x14ac:dyDescent="0.25">
      <c r="F1236" s="8"/>
    </row>
    <row r="1237" spans="6:6" x14ac:dyDescent="0.25">
      <c r="F1237" s="8"/>
    </row>
    <row r="1238" spans="6:6" x14ac:dyDescent="0.25">
      <c r="F1238" s="8"/>
    </row>
    <row r="1239" spans="6:6" x14ac:dyDescent="0.25">
      <c r="F1239" s="8"/>
    </row>
    <row r="1240" spans="6:6" x14ac:dyDescent="0.25">
      <c r="F1240" s="8"/>
    </row>
    <row r="1241" spans="6:6" x14ac:dyDescent="0.25">
      <c r="F1241" s="8"/>
    </row>
    <row r="1242" spans="6:6" x14ac:dyDescent="0.25">
      <c r="F1242" s="8"/>
    </row>
    <row r="1243" spans="6:6" x14ac:dyDescent="0.25">
      <c r="F1243" s="8"/>
    </row>
    <row r="1244" spans="6:6" x14ac:dyDescent="0.25">
      <c r="F1244" s="8"/>
    </row>
    <row r="1245" spans="6:6" x14ac:dyDescent="0.25">
      <c r="F1245" s="8"/>
    </row>
    <row r="1246" spans="6:6" x14ac:dyDescent="0.25">
      <c r="F1246" s="8"/>
    </row>
    <row r="1247" spans="6:6" x14ac:dyDescent="0.25">
      <c r="F1247" s="8"/>
    </row>
    <row r="1248" spans="6:6" x14ac:dyDescent="0.25">
      <c r="F1248" s="8"/>
    </row>
    <row r="1249" spans="6:6" x14ac:dyDescent="0.25">
      <c r="F1249" s="8"/>
    </row>
    <row r="1250" spans="6:6" x14ac:dyDescent="0.25">
      <c r="F1250" s="8"/>
    </row>
    <row r="1251" spans="6:6" x14ac:dyDescent="0.25">
      <c r="F1251" s="8"/>
    </row>
    <row r="1252" spans="6:6" x14ac:dyDescent="0.25">
      <c r="F1252" s="8"/>
    </row>
    <row r="1253" spans="6:6" x14ac:dyDescent="0.25">
      <c r="F1253" s="8"/>
    </row>
    <row r="1254" spans="6:6" x14ac:dyDescent="0.25">
      <c r="F1254" s="8"/>
    </row>
    <row r="1255" spans="6:6" x14ac:dyDescent="0.25">
      <c r="F1255" s="8"/>
    </row>
    <row r="1256" spans="6:6" x14ac:dyDescent="0.25">
      <c r="F1256" s="8"/>
    </row>
    <row r="1257" spans="6:6" x14ac:dyDescent="0.25">
      <c r="F1257" s="8"/>
    </row>
    <row r="1258" spans="6:6" x14ac:dyDescent="0.25">
      <c r="F1258" s="8"/>
    </row>
    <row r="1259" spans="6:6" x14ac:dyDescent="0.25">
      <c r="F1259" s="8"/>
    </row>
    <row r="1260" spans="6:6" x14ac:dyDescent="0.25">
      <c r="F1260" s="8"/>
    </row>
    <row r="1261" spans="6:6" x14ac:dyDescent="0.25">
      <c r="F1261" s="8"/>
    </row>
    <row r="1262" spans="6:6" x14ac:dyDescent="0.25">
      <c r="F1262" s="8"/>
    </row>
    <row r="1263" spans="6:6" x14ac:dyDescent="0.25">
      <c r="F1263" s="8"/>
    </row>
    <row r="1264" spans="6:6" x14ac:dyDescent="0.25">
      <c r="F1264" s="8"/>
    </row>
    <row r="1265" spans="6:6" x14ac:dyDescent="0.25">
      <c r="F1265" s="8"/>
    </row>
    <row r="1266" spans="6:6" x14ac:dyDescent="0.25">
      <c r="F1266" s="8"/>
    </row>
    <row r="1267" spans="6:6" x14ac:dyDescent="0.25">
      <c r="F1267" s="8"/>
    </row>
    <row r="1268" spans="6:6" x14ac:dyDescent="0.25">
      <c r="F1268" s="8"/>
    </row>
    <row r="1269" spans="6:6" x14ac:dyDescent="0.25">
      <c r="F1269" s="8"/>
    </row>
    <row r="1270" spans="6:6" x14ac:dyDescent="0.25">
      <c r="F1270" s="8"/>
    </row>
    <row r="1271" spans="6:6" x14ac:dyDescent="0.25">
      <c r="F1271" s="8"/>
    </row>
    <row r="1272" spans="6:6" x14ac:dyDescent="0.25">
      <c r="F1272" s="8"/>
    </row>
    <row r="1273" spans="6:6" x14ac:dyDescent="0.25">
      <c r="F1273" s="8"/>
    </row>
    <row r="1274" spans="6:6" x14ac:dyDescent="0.25">
      <c r="F1274" s="8"/>
    </row>
    <row r="1275" spans="6:6" x14ac:dyDescent="0.25">
      <c r="F1275" s="8"/>
    </row>
    <row r="1276" spans="6:6" x14ac:dyDescent="0.25">
      <c r="F1276" s="8"/>
    </row>
    <row r="1277" spans="6:6" x14ac:dyDescent="0.25">
      <c r="F1277" s="8"/>
    </row>
    <row r="1278" spans="6:6" x14ac:dyDescent="0.25">
      <c r="F1278" s="8"/>
    </row>
    <row r="1279" spans="6:6" x14ac:dyDescent="0.25">
      <c r="F1279" s="8"/>
    </row>
    <row r="1280" spans="6:6" x14ac:dyDescent="0.25">
      <c r="F1280" s="8"/>
    </row>
    <row r="1281" spans="6:6" x14ac:dyDescent="0.25">
      <c r="F1281" s="8"/>
    </row>
    <row r="1282" spans="6:6" x14ac:dyDescent="0.25">
      <c r="F1282" s="8"/>
    </row>
    <row r="1283" spans="6:6" x14ac:dyDescent="0.25">
      <c r="F1283" s="8"/>
    </row>
    <row r="1284" spans="6:6" x14ac:dyDescent="0.25">
      <c r="F1284" s="8"/>
    </row>
    <row r="1285" spans="6:6" x14ac:dyDescent="0.25">
      <c r="F1285" s="8"/>
    </row>
    <row r="1286" spans="6:6" x14ac:dyDescent="0.25">
      <c r="F1286" s="8"/>
    </row>
    <row r="1287" spans="6:6" x14ac:dyDescent="0.25">
      <c r="F1287" s="8"/>
    </row>
    <row r="1288" spans="6:6" x14ac:dyDescent="0.25">
      <c r="F1288" s="8"/>
    </row>
    <row r="1289" spans="6:6" x14ac:dyDescent="0.25">
      <c r="F1289" s="8"/>
    </row>
    <row r="1290" spans="6:6" x14ac:dyDescent="0.25">
      <c r="F1290" s="8"/>
    </row>
    <row r="1291" spans="6:6" x14ac:dyDescent="0.25">
      <c r="F1291" s="8"/>
    </row>
    <row r="1292" spans="6:6" x14ac:dyDescent="0.25">
      <c r="F1292" s="8"/>
    </row>
    <row r="1293" spans="6:6" x14ac:dyDescent="0.25">
      <c r="F1293" s="8"/>
    </row>
    <row r="1294" spans="6:6" x14ac:dyDescent="0.25">
      <c r="F1294" s="8"/>
    </row>
    <row r="1295" spans="6:6" x14ac:dyDescent="0.25">
      <c r="F1295" s="8"/>
    </row>
    <row r="1296" spans="6:6" x14ac:dyDescent="0.25">
      <c r="F1296" s="8"/>
    </row>
    <row r="1297" spans="6:6" x14ac:dyDescent="0.25">
      <c r="F1297" s="8"/>
    </row>
    <row r="1298" spans="6:6" x14ac:dyDescent="0.25">
      <c r="F1298" s="8"/>
    </row>
    <row r="1299" spans="6:6" x14ac:dyDescent="0.25">
      <c r="F1299" s="8"/>
    </row>
    <row r="1300" spans="6:6" x14ac:dyDescent="0.25">
      <c r="F1300" s="8"/>
    </row>
    <row r="1301" spans="6:6" x14ac:dyDescent="0.25">
      <c r="F1301" s="8"/>
    </row>
    <row r="1302" spans="6:6" x14ac:dyDescent="0.25">
      <c r="F1302" s="8"/>
    </row>
    <row r="1303" spans="6:6" x14ac:dyDescent="0.25">
      <c r="F1303" s="8"/>
    </row>
    <row r="1304" spans="6:6" x14ac:dyDescent="0.25">
      <c r="F1304" s="8"/>
    </row>
    <row r="1305" spans="6:6" x14ac:dyDescent="0.25">
      <c r="F1305" s="8"/>
    </row>
    <row r="1306" spans="6:6" x14ac:dyDescent="0.25">
      <c r="F1306" s="8"/>
    </row>
    <row r="1307" spans="6:6" x14ac:dyDescent="0.25">
      <c r="F1307" s="8"/>
    </row>
    <row r="1308" spans="6:6" x14ac:dyDescent="0.25">
      <c r="F1308" s="8"/>
    </row>
    <row r="1309" spans="6:6" x14ac:dyDescent="0.25">
      <c r="F1309" s="8"/>
    </row>
    <row r="1310" spans="6:6" x14ac:dyDescent="0.25">
      <c r="F1310" s="8"/>
    </row>
    <row r="1311" spans="6:6" x14ac:dyDescent="0.25">
      <c r="F1311" s="8"/>
    </row>
    <row r="1312" spans="6:6" x14ac:dyDescent="0.25">
      <c r="F1312" s="8"/>
    </row>
    <row r="1313" spans="6:6" x14ac:dyDescent="0.25">
      <c r="F1313" s="8"/>
    </row>
    <row r="1314" spans="6:6" x14ac:dyDescent="0.25">
      <c r="F1314" s="8"/>
    </row>
    <row r="1315" spans="6:6" x14ac:dyDescent="0.25">
      <c r="F1315" s="8"/>
    </row>
    <row r="1316" spans="6:6" x14ac:dyDescent="0.25">
      <c r="F1316" s="8"/>
    </row>
    <row r="1317" spans="6:6" x14ac:dyDescent="0.25">
      <c r="F1317" s="8"/>
    </row>
    <row r="1318" spans="6:6" x14ac:dyDescent="0.25">
      <c r="F1318" s="8"/>
    </row>
    <row r="1319" spans="6:6" x14ac:dyDescent="0.25">
      <c r="F1319" s="8"/>
    </row>
    <row r="1320" spans="6:6" x14ac:dyDescent="0.25">
      <c r="F1320" s="8"/>
    </row>
    <row r="1321" spans="6:6" x14ac:dyDescent="0.25">
      <c r="F1321" s="8"/>
    </row>
    <row r="1322" spans="6:6" x14ac:dyDescent="0.25">
      <c r="F1322" s="8"/>
    </row>
    <row r="1323" spans="6:6" x14ac:dyDescent="0.25">
      <c r="F1323" s="8"/>
    </row>
    <row r="1324" spans="6:6" x14ac:dyDescent="0.25">
      <c r="F1324" s="8"/>
    </row>
    <row r="1325" spans="6:6" x14ac:dyDescent="0.25">
      <c r="F1325" s="8"/>
    </row>
    <row r="1326" spans="6:6" x14ac:dyDescent="0.25">
      <c r="F1326" s="8"/>
    </row>
    <row r="1327" spans="6:6" x14ac:dyDescent="0.25">
      <c r="F1327" s="8"/>
    </row>
    <row r="1328" spans="6:6" x14ac:dyDescent="0.25">
      <c r="F1328" s="8"/>
    </row>
    <row r="1329" spans="6:6" x14ac:dyDescent="0.25">
      <c r="F1329" s="8"/>
    </row>
    <row r="1330" spans="6:6" x14ac:dyDescent="0.25">
      <c r="F1330" s="8"/>
    </row>
    <row r="1331" spans="6:6" x14ac:dyDescent="0.25">
      <c r="F1331" s="8"/>
    </row>
    <row r="1332" spans="6:6" x14ac:dyDescent="0.25">
      <c r="F1332" s="8"/>
    </row>
    <row r="1333" spans="6:6" x14ac:dyDescent="0.25">
      <c r="F1333" s="8"/>
    </row>
    <row r="1334" spans="6:6" x14ac:dyDescent="0.25">
      <c r="F1334" s="8"/>
    </row>
    <row r="1335" spans="6:6" x14ac:dyDescent="0.25">
      <c r="F1335" s="8"/>
    </row>
    <row r="1336" spans="6:6" x14ac:dyDescent="0.25">
      <c r="F1336" s="8"/>
    </row>
    <row r="1337" spans="6:6" x14ac:dyDescent="0.25">
      <c r="F1337" s="8"/>
    </row>
    <row r="1338" spans="6:6" x14ac:dyDescent="0.25">
      <c r="F1338" s="8"/>
    </row>
    <row r="1339" spans="6:6" x14ac:dyDescent="0.25">
      <c r="F1339" s="8"/>
    </row>
    <row r="1340" spans="6:6" x14ac:dyDescent="0.25">
      <c r="F1340" s="8"/>
    </row>
    <row r="1341" spans="6:6" x14ac:dyDescent="0.25">
      <c r="F1341" s="8"/>
    </row>
    <row r="1342" spans="6:6" x14ac:dyDescent="0.25">
      <c r="F1342" s="8"/>
    </row>
    <row r="1343" spans="6:6" x14ac:dyDescent="0.25">
      <c r="F1343" s="8"/>
    </row>
    <row r="1344" spans="6:6" x14ac:dyDescent="0.25">
      <c r="F1344" s="8"/>
    </row>
    <row r="1345" spans="6:6" x14ac:dyDescent="0.25">
      <c r="F1345" s="8"/>
    </row>
    <row r="1346" spans="6:6" x14ac:dyDescent="0.25">
      <c r="F1346" s="8"/>
    </row>
    <row r="1347" spans="6:6" x14ac:dyDescent="0.25">
      <c r="F1347" s="8"/>
    </row>
    <row r="1348" spans="6:6" x14ac:dyDescent="0.25">
      <c r="F1348" s="8"/>
    </row>
    <row r="1349" spans="6:6" x14ac:dyDescent="0.25">
      <c r="F1349" s="8"/>
    </row>
    <row r="1350" spans="6:6" x14ac:dyDescent="0.25">
      <c r="F1350" s="8"/>
    </row>
    <row r="1351" spans="6:6" x14ac:dyDescent="0.25">
      <c r="F1351" s="8"/>
    </row>
    <row r="1352" spans="6:6" x14ac:dyDescent="0.25">
      <c r="F1352" s="8"/>
    </row>
    <row r="1353" spans="6:6" x14ac:dyDescent="0.25">
      <c r="F1353" s="8"/>
    </row>
    <row r="1354" spans="6:6" x14ac:dyDescent="0.25">
      <c r="F1354" s="8"/>
    </row>
    <row r="1355" spans="6:6" x14ac:dyDescent="0.25">
      <c r="F1355" s="8"/>
    </row>
    <row r="1356" spans="6:6" x14ac:dyDescent="0.25">
      <c r="F1356" s="8"/>
    </row>
    <row r="1357" spans="6:6" x14ac:dyDescent="0.25">
      <c r="F1357" s="8"/>
    </row>
    <row r="1358" spans="6:6" x14ac:dyDescent="0.25">
      <c r="F1358" s="8"/>
    </row>
    <row r="1359" spans="6:6" x14ac:dyDescent="0.25">
      <c r="F1359" s="8"/>
    </row>
    <row r="1360" spans="6:6" x14ac:dyDescent="0.25">
      <c r="F1360" s="8"/>
    </row>
    <row r="1361" spans="6:6" x14ac:dyDescent="0.25">
      <c r="F1361" s="8"/>
    </row>
    <row r="1362" spans="6:6" x14ac:dyDescent="0.25">
      <c r="F1362" s="8"/>
    </row>
    <row r="1363" spans="6:6" x14ac:dyDescent="0.25">
      <c r="F1363" s="8"/>
    </row>
    <row r="1364" spans="6:6" x14ac:dyDescent="0.25">
      <c r="F1364" s="8"/>
    </row>
    <row r="1365" spans="6:6" x14ac:dyDescent="0.25">
      <c r="F1365" s="8"/>
    </row>
    <row r="1366" spans="6:6" x14ac:dyDescent="0.25">
      <c r="F1366" s="8"/>
    </row>
    <row r="1367" spans="6:6" x14ac:dyDescent="0.25">
      <c r="F1367" s="8"/>
    </row>
    <row r="1368" spans="6:6" x14ac:dyDescent="0.25">
      <c r="F1368" s="8"/>
    </row>
    <row r="1369" spans="6:6" x14ac:dyDescent="0.25">
      <c r="F1369" s="8"/>
    </row>
    <row r="1370" spans="6:6" x14ac:dyDescent="0.25">
      <c r="F1370" s="8"/>
    </row>
    <row r="1371" spans="6:6" x14ac:dyDescent="0.25">
      <c r="F1371" s="8"/>
    </row>
    <row r="1372" spans="6:6" x14ac:dyDescent="0.25">
      <c r="F1372" s="8"/>
    </row>
    <row r="1373" spans="6:6" x14ac:dyDescent="0.25">
      <c r="F1373" s="8"/>
    </row>
    <row r="1374" spans="6:6" x14ac:dyDescent="0.25">
      <c r="F1374" s="8"/>
    </row>
    <row r="1375" spans="6:6" x14ac:dyDescent="0.25">
      <c r="F1375" s="8"/>
    </row>
    <row r="1376" spans="6:6" x14ac:dyDescent="0.25">
      <c r="F1376" s="8"/>
    </row>
    <row r="1377" spans="6:6" x14ac:dyDescent="0.25">
      <c r="F1377" s="8"/>
    </row>
    <row r="1378" spans="6:6" x14ac:dyDescent="0.25">
      <c r="F1378" s="8"/>
    </row>
    <row r="1379" spans="6:6" x14ac:dyDescent="0.25">
      <c r="F1379" s="8"/>
    </row>
    <row r="1380" spans="6:6" x14ac:dyDescent="0.25">
      <c r="F1380" s="8"/>
    </row>
    <row r="1381" spans="6:6" x14ac:dyDescent="0.25">
      <c r="F1381" s="8"/>
    </row>
    <row r="1382" spans="6:6" x14ac:dyDescent="0.25">
      <c r="F1382" s="8"/>
    </row>
    <row r="1383" spans="6:6" x14ac:dyDescent="0.25">
      <c r="F1383" s="8"/>
    </row>
    <row r="1384" spans="6:6" x14ac:dyDescent="0.25">
      <c r="F1384" s="8"/>
    </row>
    <row r="1385" spans="6:6" x14ac:dyDescent="0.25">
      <c r="F1385" s="8"/>
    </row>
    <row r="1386" spans="6:6" x14ac:dyDescent="0.25">
      <c r="F1386" s="8"/>
    </row>
    <row r="1387" spans="6:6" x14ac:dyDescent="0.25">
      <c r="F1387" s="8"/>
    </row>
    <row r="1388" spans="6:6" x14ac:dyDescent="0.25">
      <c r="F1388" s="8"/>
    </row>
    <row r="1389" spans="6:6" x14ac:dyDescent="0.25">
      <c r="F1389" s="8"/>
    </row>
    <row r="1390" spans="6:6" x14ac:dyDescent="0.25">
      <c r="F1390" s="8"/>
    </row>
    <row r="1391" spans="6:6" x14ac:dyDescent="0.25">
      <c r="F1391" s="8"/>
    </row>
    <row r="1392" spans="6:6" x14ac:dyDescent="0.25">
      <c r="F1392" s="8"/>
    </row>
    <row r="1393" spans="6:6" x14ac:dyDescent="0.25">
      <c r="F1393" s="8"/>
    </row>
    <row r="1394" spans="6:6" x14ac:dyDescent="0.25">
      <c r="F1394" s="8"/>
    </row>
    <row r="1395" spans="6:6" x14ac:dyDescent="0.25">
      <c r="F1395" s="8"/>
    </row>
    <row r="1396" spans="6:6" x14ac:dyDescent="0.25">
      <c r="F1396" s="8"/>
    </row>
    <row r="1397" spans="6:6" x14ac:dyDescent="0.25">
      <c r="F1397" s="8"/>
    </row>
    <row r="1398" spans="6:6" x14ac:dyDescent="0.25">
      <c r="F1398" s="8"/>
    </row>
    <row r="1399" spans="6:6" x14ac:dyDescent="0.25">
      <c r="F1399" s="8"/>
    </row>
    <row r="1400" spans="6:6" x14ac:dyDescent="0.25">
      <c r="F1400" s="8"/>
    </row>
    <row r="1401" spans="6:6" x14ac:dyDescent="0.25">
      <c r="F1401" s="8"/>
    </row>
    <row r="1402" spans="6:6" x14ac:dyDescent="0.25">
      <c r="F1402" s="8"/>
    </row>
    <row r="1403" spans="6:6" x14ac:dyDescent="0.25">
      <c r="F1403" s="8"/>
    </row>
    <row r="1404" spans="6:6" x14ac:dyDescent="0.25">
      <c r="F1404" s="8"/>
    </row>
    <row r="1405" spans="6:6" x14ac:dyDescent="0.25">
      <c r="F1405" s="8"/>
    </row>
    <row r="1406" spans="6:6" x14ac:dyDescent="0.25">
      <c r="F1406" s="8"/>
    </row>
    <row r="1407" spans="6:6" x14ac:dyDescent="0.25">
      <c r="F1407" s="8"/>
    </row>
    <row r="1408" spans="6:6" x14ac:dyDescent="0.25">
      <c r="F1408" s="8"/>
    </row>
    <row r="1409" spans="6:6" x14ac:dyDescent="0.25">
      <c r="F1409" s="8"/>
    </row>
    <row r="1410" spans="6:6" x14ac:dyDescent="0.25">
      <c r="F1410" s="8"/>
    </row>
    <row r="1411" spans="6:6" x14ac:dyDescent="0.25">
      <c r="F1411" s="8"/>
    </row>
    <row r="1412" spans="6:6" x14ac:dyDescent="0.25">
      <c r="F1412" s="8"/>
    </row>
    <row r="1413" spans="6:6" x14ac:dyDescent="0.25">
      <c r="F1413" s="8"/>
    </row>
    <row r="1414" spans="6:6" x14ac:dyDescent="0.25">
      <c r="F1414" s="8"/>
    </row>
    <row r="1415" spans="6:6" x14ac:dyDescent="0.25">
      <c r="F1415" s="8"/>
    </row>
    <row r="1416" spans="6:6" x14ac:dyDescent="0.25">
      <c r="F1416" s="8"/>
    </row>
    <row r="1417" spans="6:6" x14ac:dyDescent="0.25">
      <c r="F1417" s="8"/>
    </row>
    <row r="1418" spans="6:6" x14ac:dyDescent="0.25">
      <c r="F1418" s="8"/>
    </row>
    <row r="1419" spans="6:6" x14ac:dyDescent="0.25">
      <c r="F1419" s="8"/>
    </row>
    <row r="1420" spans="6:6" x14ac:dyDescent="0.25">
      <c r="F1420" s="8"/>
    </row>
    <row r="1421" spans="6:6" x14ac:dyDescent="0.25">
      <c r="F1421" s="8"/>
    </row>
    <row r="1422" spans="6:6" x14ac:dyDescent="0.25">
      <c r="F1422" s="8"/>
    </row>
    <row r="1423" spans="6:6" x14ac:dyDescent="0.25">
      <c r="F1423" s="8"/>
    </row>
    <row r="1424" spans="6:6" x14ac:dyDescent="0.25">
      <c r="F1424" s="8"/>
    </row>
    <row r="1425" spans="6:6" x14ac:dyDescent="0.25">
      <c r="F1425" s="8"/>
    </row>
    <row r="1426" spans="6:6" x14ac:dyDescent="0.25">
      <c r="F1426" s="8"/>
    </row>
    <row r="1427" spans="6:6" x14ac:dyDescent="0.25">
      <c r="F1427" s="8"/>
    </row>
    <row r="1428" spans="6:6" x14ac:dyDescent="0.25">
      <c r="F1428" s="8"/>
    </row>
    <row r="1429" spans="6:6" x14ac:dyDescent="0.25">
      <c r="F1429" s="8"/>
    </row>
    <row r="1430" spans="6:6" x14ac:dyDescent="0.25">
      <c r="F1430" s="8"/>
    </row>
    <row r="1431" spans="6:6" x14ac:dyDescent="0.25">
      <c r="F1431" s="8"/>
    </row>
    <row r="1432" spans="6:6" x14ac:dyDescent="0.25">
      <c r="F1432" s="8"/>
    </row>
    <row r="1433" spans="6:6" x14ac:dyDescent="0.25">
      <c r="F1433" s="8"/>
    </row>
    <row r="1434" spans="6:6" x14ac:dyDescent="0.25">
      <c r="F1434" s="8"/>
    </row>
    <row r="1435" spans="6:6" x14ac:dyDescent="0.25">
      <c r="F1435" s="8"/>
    </row>
    <row r="1436" spans="6:6" x14ac:dyDescent="0.25">
      <c r="F1436" s="8"/>
    </row>
    <row r="1437" spans="6:6" x14ac:dyDescent="0.25">
      <c r="F1437" s="8"/>
    </row>
    <row r="1438" spans="6:6" x14ac:dyDescent="0.25">
      <c r="F1438" s="8"/>
    </row>
    <row r="1439" spans="6:6" x14ac:dyDescent="0.25">
      <c r="F1439" s="8"/>
    </row>
    <row r="1440" spans="6:6" x14ac:dyDescent="0.25">
      <c r="F1440" s="8"/>
    </row>
    <row r="1441" spans="6:6" x14ac:dyDescent="0.25">
      <c r="F1441" s="8"/>
    </row>
    <row r="1442" spans="6:6" x14ac:dyDescent="0.25">
      <c r="F1442" s="8"/>
    </row>
    <row r="1443" spans="6:6" x14ac:dyDescent="0.25">
      <c r="F1443" s="8"/>
    </row>
    <row r="1444" spans="6:6" x14ac:dyDescent="0.25">
      <c r="F1444" s="8"/>
    </row>
    <row r="1445" spans="6:6" x14ac:dyDescent="0.25">
      <c r="F1445" s="8"/>
    </row>
    <row r="1446" spans="6:6" x14ac:dyDescent="0.25">
      <c r="F1446" s="8"/>
    </row>
    <row r="1447" spans="6:6" x14ac:dyDescent="0.25">
      <c r="F1447" s="8"/>
    </row>
    <row r="1448" spans="6:6" x14ac:dyDescent="0.25">
      <c r="F1448" s="8"/>
    </row>
    <row r="1449" spans="6:6" x14ac:dyDescent="0.25">
      <c r="F1449" s="8"/>
    </row>
    <row r="1450" spans="6:6" x14ac:dyDescent="0.25">
      <c r="F1450" s="8"/>
    </row>
    <row r="1451" spans="6:6" x14ac:dyDescent="0.25">
      <c r="F1451" s="8"/>
    </row>
    <row r="1452" spans="6:6" x14ac:dyDescent="0.25">
      <c r="F1452" s="8"/>
    </row>
    <row r="1453" spans="6:6" x14ac:dyDescent="0.25">
      <c r="F1453" s="8"/>
    </row>
    <row r="1454" spans="6:6" x14ac:dyDescent="0.25">
      <c r="F1454" s="8"/>
    </row>
    <row r="1455" spans="6:6" x14ac:dyDescent="0.25">
      <c r="F1455" s="8"/>
    </row>
    <row r="1456" spans="6:6" x14ac:dyDescent="0.25">
      <c r="F1456" s="8"/>
    </row>
    <row r="1457" spans="6:6" x14ac:dyDescent="0.25">
      <c r="F1457" s="8"/>
    </row>
    <row r="1458" spans="6:6" x14ac:dyDescent="0.25">
      <c r="F1458" s="8"/>
    </row>
    <row r="1459" spans="6:6" x14ac:dyDescent="0.25">
      <c r="F1459" s="8"/>
    </row>
    <row r="1460" spans="6:6" x14ac:dyDescent="0.25">
      <c r="F1460" s="8"/>
    </row>
    <row r="1461" spans="6:6" x14ac:dyDescent="0.25">
      <c r="F1461" s="8"/>
    </row>
    <row r="1462" spans="6:6" x14ac:dyDescent="0.25">
      <c r="F1462" s="8"/>
    </row>
    <row r="1463" spans="6:6" x14ac:dyDescent="0.25">
      <c r="F1463" s="8"/>
    </row>
    <row r="1464" spans="6:6" x14ac:dyDescent="0.25">
      <c r="F1464" s="8"/>
    </row>
    <row r="1465" spans="6:6" x14ac:dyDescent="0.25">
      <c r="F1465" s="8"/>
    </row>
    <row r="1466" spans="6:6" x14ac:dyDescent="0.25">
      <c r="F1466" s="8"/>
    </row>
    <row r="1467" spans="6:6" x14ac:dyDescent="0.25">
      <c r="F1467" s="8"/>
    </row>
    <row r="1468" spans="6:6" x14ac:dyDescent="0.25">
      <c r="F1468" s="8"/>
    </row>
    <row r="1469" spans="6:6" x14ac:dyDescent="0.25">
      <c r="F1469" s="8"/>
    </row>
    <row r="1470" spans="6:6" x14ac:dyDescent="0.25">
      <c r="F1470" s="8"/>
    </row>
    <row r="1471" spans="6:6" x14ac:dyDescent="0.25">
      <c r="F1471" s="8"/>
    </row>
    <row r="1472" spans="6:6" x14ac:dyDescent="0.25">
      <c r="F1472" s="8"/>
    </row>
    <row r="1473" spans="6:6" x14ac:dyDescent="0.25">
      <c r="F1473" s="8"/>
    </row>
    <row r="1474" spans="6:6" x14ac:dyDescent="0.25">
      <c r="F1474" s="8"/>
    </row>
    <row r="1475" spans="6:6" x14ac:dyDescent="0.25">
      <c r="F1475" s="8"/>
    </row>
    <row r="1476" spans="6:6" x14ac:dyDescent="0.25">
      <c r="F1476" s="8"/>
    </row>
    <row r="1477" spans="6:6" x14ac:dyDescent="0.25">
      <c r="F1477" s="8"/>
    </row>
    <row r="1478" spans="6:6" x14ac:dyDescent="0.25">
      <c r="F1478" s="8"/>
    </row>
    <row r="1479" spans="6:6" x14ac:dyDescent="0.25">
      <c r="F1479" s="8"/>
    </row>
    <row r="1480" spans="6:6" x14ac:dyDescent="0.25">
      <c r="F1480" s="8"/>
    </row>
    <row r="1481" spans="6:6" x14ac:dyDescent="0.25">
      <c r="F1481" s="8"/>
    </row>
    <row r="1482" spans="6:6" x14ac:dyDescent="0.25">
      <c r="F1482" s="8"/>
    </row>
    <row r="1483" spans="6:6" x14ac:dyDescent="0.25">
      <c r="F1483" s="8"/>
    </row>
    <row r="1484" spans="6:6" x14ac:dyDescent="0.25">
      <c r="F1484" s="8"/>
    </row>
    <row r="1485" spans="6:6" x14ac:dyDescent="0.25">
      <c r="F1485" s="8"/>
    </row>
    <row r="1486" spans="6:6" x14ac:dyDescent="0.25">
      <c r="F1486" s="8"/>
    </row>
    <row r="1487" spans="6:6" x14ac:dyDescent="0.25">
      <c r="F1487" s="8"/>
    </row>
    <row r="1488" spans="6:6" x14ac:dyDescent="0.25">
      <c r="F1488" s="8"/>
    </row>
    <row r="1489" spans="6:6" x14ac:dyDescent="0.25">
      <c r="F1489" s="8"/>
    </row>
    <row r="1490" spans="6:6" x14ac:dyDescent="0.25">
      <c r="F1490" s="8"/>
    </row>
    <row r="1491" spans="6:6" x14ac:dyDescent="0.25">
      <c r="F1491" s="8"/>
    </row>
    <row r="1492" spans="6:6" x14ac:dyDescent="0.25">
      <c r="F1492" s="8"/>
    </row>
    <row r="1493" spans="6:6" x14ac:dyDescent="0.25">
      <c r="F1493" s="8"/>
    </row>
    <row r="1494" spans="6:6" x14ac:dyDescent="0.25">
      <c r="F1494" s="8"/>
    </row>
    <row r="1495" spans="6:6" x14ac:dyDescent="0.25">
      <c r="F1495" s="8"/>
    </row>
    <row r="1496" spans="6:6" x14ac:dyDescent="0.25">
      <c r="F1496" s="8"/>
    </row>
    <row r="1497" spans="6:6" x14ac:dyDescent="0.25">
      <c r="F1497" s="8"/>
    </row>
    <row r="1498" spans="6:6" x14ac:dyDescent="0.25">
      <c r="F1498" s="8"/>
    </row>
    <row r="1499" spans="6:6" x14ac:dyDescent="0.25">
      <c r="F1499" s="8"/>
    </row>
    <row r="1500" spans="6:6" x14ac:dyDescent="0.25">
      <c r="F1500" s="8"/>
    </row>
    <row r="1501" spans="6:6" x14ac:dyDescent="0.25">
      <c r="F1501" s="8"/>
    </row>
    <row r="1502" spans="6:6" x14ac:dyDescent="0.25">
      <c r="F1502" s="8"/>
    </row>
    <row r="1503" spans="6:6" x14ac:dyDescent="0.25">
      <c r="F1503" s="8"/>
    </row>
    <row r="1504" spans="6:6" x14ac:dyDescent="0.25">
      <c r="F1504" s="8"/>
    </row>
    <row r="1505" spans="6:6" x14ac:dyDescent="0.25">
      <c r="F1505" s="8"/>
    </row>
    <row r="1506" spans="6:6" x14ac:dyDescent="0.25">
      <c r="F1506" s="8"/>
    </row>
    <row r="1507" spans="6:6" x14ac:dyDescent="0.25">
      <c r="F1507" s="8"/>
    </row>
    <row r="1508" spans="6:6" x14ac:dyDescent="0.25">
      <c r="F1508" s="8"/>
    </row>
    <row r="1509" spans="6:6" x14ac:dyDescent="0.25">
      <c r="F1509" s="8"/>
    </row>
    <row r="1510" spans="6:6" x14ac:dyDescent="0.25">
      <c r="F1510" s="8"/>
    </row>
    <row r="1511" spans="6:6" x14ac:dyDescent="0.25">
      <c r="F1511" s="8"/>
    </row>
    <row r="1512" spans="6:6" x14ac:dyDescent="0.25">
      <c r="F1512" s="8"/>
    </row>
    <row r="1513" spans="6:6" x14ac:dyDescent="0.25">
      <c r="F1513" s="8"/>
    </row>
    <row r="1514" spans="6:6" x14ac:dyDescent="0.25">
      <c r="F1514" s="8"/>
    </row>
    <row r="1515" spans="6:6" x14ac:dyDescent="0.25">
      <c r="F1515" s="8"/>
    </row>
    <row r="1516" spans="6:6" x14ac:dyDescent="0.25">
      <c r="F1516" s="8"/>
    </row>
    <row r="1517" spans="6:6" x14ac:dyDescent="0.25">
      <c r="F1517" s="8"/>
    </row>
    <row r="1518" spans="6:6" x14ac:dyDescent="0.25">
      <c r="F1518" s="8"/>
    </row>
    <row r="1519" spans="6:6" x14ac:dyDescent="0.25">
      <c r="F1519" s="8"/>
    </row>
    <row r="1520" spans="6:6" x14ac:dyDescent="0.25">
      <c r="F1520" s="8"/>
    </row>
    <row r="1521" spans="6:6" x14ac:dyDescent="0.25">
      <c r="F1521" s="8"/>
    </row>
    <row r="1522" spans="6:6" x14ac:dyDescent="0.25">
      <c r="F1522" s="8"/>
    </row>
    <row r="1523" spans="6:6" x14ac:dyDescent="0.25">
      <c r="F1523" s="8"/>
    </row>
    <row r="1524" spans="6:6" x14ac:dyDescent="0.25">
      <c r="F1524" s="8"/>
    </row>
    <row r="1525" spans="6:6" x14ac:dyDescent="0.25">
      <c r="F1525" s="8"/>
    </row>
    <row r="1526" spans="6:6" x14ac:dyDescent="0.25">
      <c r="F1526" s="8"/>
    </row>
    <row r="1527" spans="6:6" x14ac:dyDescent="0.25">
      <c r="F1527" s="8"/>
    </row>
    <row r="1528" spans="6:6" x14ac:dyDescent="0.25">
      <c r="F1528" s="8"/>
    </row>
    <row r="1529" spans="6:6" x14ac:dyDescent="0.25">
      <c r="F1529" s="8"/>
    </row>
    <row r="1530" spans="6:6" x14ac:dyDescent="0.25">
      <c r="F1530" s="8"/>
    </row>
    <row r="1531" spans="6:6" x14ac:dyDescent="0.25">
      <c r="F1531" s="8"/>
    </row>
    <row r="1532" spans="6:6" x14ac:dyDescent="0.25">
      <c r="F1532" s="8"/>
    </row>
    <row r="1533" spans="6:6" x14ac:dyDescent="0.25">
      <c r="F1533" s="8"/>
    </row>
    <row r="1534" spans="6:6" x14ac:dyDescent="0.25">
      <c r="F1534" s="8"/>
    </row>
    <row r="1535" spans="6:6" x14ac:dyDescent="0.25">
      <c r="F1535" s="8"/>
    </row>
    <row r="1536" spans="6:6" x14ac:dyDescent="0.25">
      <c r="F1536" s="8"/>
    </row>
    <row r="1537" spans="6:6" x14ac:dyDescent="0.25">
      <c r="F1537" s="8"/>
    </row>
    <row r="1538" spans="6:6" x14ac:dyDescent="0.25">
      <c r="F1538" s="8"/>
    </row>
    <row r="1539" spans="6:6" x14ac:dyDescent="0.25">
      <c r="F1539" s="8"/>
    </row>
    <row r="1540" spans="6:6" x14ac:dyDescent="0.25">
      <c r="F1540" s="8"/>
    </row>
    <row r="1541" spans="6:6" x14ac:dyDescent="0.25">
      <c r="F1541" s="8"/>
    </row>
    <row r="1542" spans="6:6" x14ac:dyDescent="0.25">
      <c r="F1542" s="8"/>
    </row>
    <row r="1543" spans="6:6" x14ac:dyDescent="0.25">
      <c r="F1543" s="8"/>
    </row>
    <row r="1544" spans="6:6" x14ac:dyDescent="0.25">
      <c r="F1544" s="8"/>
    </row>
    <row r="1545" spans="6:6" x14ac:dyDescent="0.25">
      <c r="F1545" s="8"/>
    </row>
    <row r="1546" spans="6:6" x14ac:dyDescent="0.25">
      <c r="F1546" s="8"/>
    </row>
    <row r="1547" spans="6:6" x14ac:dyDescent="0.25">
      <c r="F1547" s="8"/>
    </row>
    <row r="1548" spans="6:6" x14ac:dyDescent="0.25">
      <c r="F1548" s="8"/>
    </row>
    <row r="1549" spans="6:6" x14ac:dyDescent="0.25">
      <c r="F1549" s="8"/>
    </row>
    <row r="1550" spans="6:6" x14ac:dyDescent="0.25">
      <c r="F1550" s="8"/>
    </row>
    <row r="1551" spans="6:6" x14ac:dyDescent="0.25">
      <c r="F1551" s="8"/>
    </row>
    <row r="1552" spans="6:6" x14ac:dyDescent="0.25">
      <c r="F1552" s="8"/>
    </row>
    <row r="1553" spans="6:6" x14ac:dyDescent="0.25">
      <c r="F1553" s="8"/>
    </row>
    <row r="1554" spans="6:6" x14ac:dyDescent="0.25">
      <c r="F1554" s="8"/>
    </row>
    <row r="1555" spans="6:6" x14ac:dyDescent="0.25">
      <c r="F1555" s="8"/>
    </row>
    <row r="1556" spans="6:6" x14ac:dyDescent="0.25">
      <c r="F1556" s="8"/>
    </row>
    <row r="1557" spans="6:6" x14ac:dyDescent="0.25">
      <c r="F1557" s="8"/>
    </row>
    <row r="1558" spans="6:6" x14ac:dyDescent="0.25">
      <c r="F1558" s="8"/>
    </row>
    <row r="1559" spans="6:6" x14ac:dyDescent="0.25">
      <c r="F1559" s="8"/>
    </row>
    <row r="1560" spans="6:6" x14ac:dyDescent="0.25">
      <c r="F1560" s="8"/>
    </row>
    <row r="1561" spans="6:6" x14ac:dyDescent="0.25">
      <c r="F1561" s="8"/>
    </row>
    <row r="1562" spans="6:6" x14ac:dyDescent="0.25">
      <c r="F1562" s="8"/>
    </row>
    <row r="1563" spans="6:6" x14ac:dyDescent="0.25">
      <c r="F1563" s="8"/>
    </row>
    <row r="1564" spans="6:6" x14ac:dyDescent="0.25">
      <c r="F1564" s="8"/>
    </row>
    <row r="1565" spans="6:6" x14ac:dyDescent="0.25">
      <c r="F1565" s="8"/>
    </row>
    <row r="1566" spans="6:6" x14ac:dyDescent="0.25">
      <c r="F1566" s="8"/>
    </row>
    <row r="1567" spans="6:6" x14ac:dyDescent="0.25">
      <c r="F1567" s="8"/>
    </row>
    <row r="1568" spans="6:6" x14ac:dyDescent="0.25">
      <c r="F1568" s="8"/>
    </row>
    <row r="1569" spans="6:6" x14ac:dyDescent="0.25">
      <c r="F1569" s="8"/>
    </row>
    <row r="1570" spans="6:6" x14ac:dyDescent="0.25">
      <c r="F1570" s="8"/>
    </row>
    <row r="1571" spans="6:6" x14ac:dyDescent="0.25">
      <c r="F1571" s="8"/>
    </row>
    <row r="1572" spans="6:6" x14ac:dyDescent="0.25">
      <c r="F1572" s="8"/>
    </row>
    <row r="1573" spans="6:6" x14ac:dyDescent="0.25">
      <c r="F1573" s="8"/>
    </row>
    <row r="1574" spans="6:6" x14ac:dyDescent="0.25">
      <c r="F1574" s="8"/>
    </row>
    <row r="1575" spans="6:6" x14ac:dyDescent="0.25">
      <c r="F1575" s="8"/>
    </row>
    <row r="1576" spans="6:6" x14ac:dyDescent="0.25">
      <c r="F1576" s="8"/>
    </row>
    <row r="1577" spans="6:6" x14ac:dyDescent="0.25">
      <c r="F1577" s="8"/>
    </row>
    <row r="1578" spans="6:6" x14ac:dyDescent="0.25">
      <c r="F1578" s="8"/>
    </row>
    <row r="1579" spans="6:6" x14ac:dyDescent="0.25">
      <c r="F1579" s="8"/>
    </row>
    <row r="1580" spans="6:6" x14ac:dyDescent="0.25">
      <c r="F1580" s="8"/>
    </row>
    <row r="1581" spans="6:6" x14ac:dyDescent="0.25">
      <c r="F1581" s="8"/>
    </row>
    <row r="1582" spans="6:6" x14ac:dyDescent="0.25">
      <c r="F1582" s="8"/>
    </row>
    <row r="1583" spans="6:6" x14ac:dyDescent="0.25">
      <c r="F1583" s="8"/>
    </row>
    <row r="1584" spans="6:6" x14ac:dyDescent="0.25">
      <c r="F1584" s="8"/>
    </row>
    <row r="1585" spans="6:6" x14ac:dyDescent="0.25">
      <c r="F1585" s="8"/>
    </row>
    <row r="1586" spans="6:6" x14ac:dyDescent="0.25">
      <c r="F1586" s="8"/>
    </row>
    <row r="1587" spans="6:6" x14ac:dyDescent="0.25">
      <c r="F1587" s="8"/>
    </row>
    <row r="1588" spans="6:6" x14ac:dyDescent="0.25">
      <c r="F1588" s="8"/>
    </row>
    <row r="1589" spans="6:6" x14ac:dyDescent="0.25">
      <c r="F1589" s="8"/>
    </row>
    <row r="1590" spans="6:6" x14ac:dyDescent="0.25">
      <c r="F1590" s="8"/>
    </row>
    <row r="1591" spans="6:6" x14ac:dyDescent="0.25">
      <c r="F1591" s="8"/>
    </row>
    <row r="1592" spans="6:6" x14ac:dyDescent="0.25">
      <c r="F1592" s="8"/>
    </row>
    <row r="1593" spans="6:6" x14ac:dyDescent="0.25">
      <c r="F1593" s="8"/>
    </row>
    <row r="1594" spans="6:6" x14ac:dyDescent="0.25">
      <c r="F1594" s="8"/>
    </row>
    <row r="1595" spans="6:6" x14ac:dyDescent="0.25">
      <c r="F1595" s="8"/>
    </row>
    <row r="1596" spans="6:6" x14ac:dyDescent="0.25">
      <c r="F1596" s="8"/>
    </row>
    <row r="1597" spans="6:6" x14ac:dyDescent="0.25">
      <c r="F1597" s="8"/>
    </row>
    <row r="1598" spans="6:6" x14ac:dyDescent="0.25">
      <c r="F1598" s="8"/>
    </row>
    <row r="1599" spans="6:6" x14ac:dyDescent="0.25">
      <c r="F1599" s="8"/>
    </row>
    <row r="1600" spans="6:6" x14ac:dyDescent="0.25">
      <c r="F1600" s="8"/>
    </row>
    <row r="1601" spans="6:6" x14ac:dyDescent="0.25">
      <c r="F1601" s="8"/>
    </row>
    <row r="1602" spans="6:6" x14ac:dyDescent="0.25">
      <c r="F1602" s="8"/>
    </row>
    <row r="1603" spans="6:6" x14ac:dyDescent="0.25">
      <c r="F1603" s="8"/>
    </row>
    <row r="1604" spans="6:6" x14ac:dyDescent="0.25">
      <c r="F1604" s="8"/>
    </row>
    <row r="1605" spans="6:6" x14ac:dyDescent="0.25">
      <c r="F1605" s="8"/>
    </row>
    <row r="1606" spans="6:6" x14ac:dyDescent="0.25">
      <c r="F1606" s="8"/>
    </row>
    <row r="1607" spans="6:6" x14ac:dyDescent="0.25">
      <c r="F1607" s="8"/>
    </row>
    <row r="1608" spans="6:6" x14ac:dyDescent="0.25">
      <c r="F1608" s="8"/>
    </row>
    <row r="1609" spans="6:6" x14ac:dyDescent="0.25">
      <c r="F1609" s="8"/>
    </row>
    <row r="1610" spans="6:6" x14ac:dyDescent="0.25">
      <c r="F1610" s="8"/>
    </row>
    <row r="1611" spans="6:6" x14ac:dyDescent="0.25">
      <c r="F1611" s="8"/>
    </row>
    <row r="1612" spans="6:6" x14ac:dyDescent="0.25">
      <c r="F1612" s="8"/>
    </row>
    <row r="1613" spans="6:6" x14ac:dyDescent="0.25">
      <c r="F1613" s="8"/>
    </row>
    <row r="1614" spans="6:6" x14ac:dyDescent="0.25">
      <c r="F1614" s="8"/>
    </row>
    <row r="1615" spans="6:6" x14ac:dyDescent="0.25">
      <c r="F1615" s="8"/>
    </row>
    <row r="1616" spans="6:6" x14ac:dyDescent="0.25">
      <c r="F1616" s="8"/>
    </row>
    <row r="1617" spans="6:6" x14ac:dyDescent="0.25">
      <c r="F1617" s="8"/>
    </row>
    <row r="1618" spans="6:6" x14ac:dyDescent="0.25">
      <c r="F1618" s="8"/>
    </row>
    <row r="1619" spans="6:6" x14ac:dyDescent="0.25">
      <c r="F1619" s="8"/>
    </row>
    <row r="1620" spans="6:6" x14ac:dyDescent="0.25">
      <c r="F1620" s="8"/>
    </row>
    <row r="1621" spans="6:6" x14ac:dyDescent="0.25">
      <c r="F1621" s="8"/>
    </row>
    <row r="1622" spans="6:6" x14ac:dyDescent="0.25">
      <c r="F1622" s="8"/>
    </row>
    <row r="1623" spans="6:6" x14ac:dyDescent="0.25">
      <c r="F1623" s="8"/>
    </row>
    <row r="1624" spans="6:6" x14ac:dyDescent="0.25">
      <c r="F1624" s="8"/>
    </row>
    <row r="1625" spans="6:6" x14ac:dyDescent="0.25">
      <c r="F1625" s="8"/>
    </row>
    <row r="1626" spans="6:6" x14ac:dyDescent="0.25">
      <c r="F1626" s="8"/>
    </row>
    <row r="1627" spans="6:6" x14ac:dyDescent="0.25">
      <c r="F1627" s="8"/>
    </row>
    <row r="1628" spans="6:6" x14ac:dyDescent="0.25">
      <c r="F1628" s="8"/>
    </row>
    <row r="1629" spans="6:6" x14ac:dyDescent="0.25">
      <c r="F1629" s="8"/>
    </row>
    <row r="1630" spans="6:6" x14ac:dyDescent="0.25">
      <c r="F1630" s="8"/>
    </row>
    <row r="1631" spans="6:6" x14ac:dyDescent="0.25">
      <c r="F1631" s="8"/>
    </row>
    <row r="1632" spans="6:6" x14ac:dyDescent="0.25">
      <c r="F1632" s="8"/>
    </row>
    <row r="1633" spans="6:6" x14ac:dyDescent="0.25">
      <c r="F1633" s="8"/>
    </row>
    <row r="1634" spans="6:6" x14ac:dyDescent="0.25">
      <c r="F1634" s="8"/>
    </row>
    <row r="1635" spans="6:6" x14ac:dyDescent="0.25">
      <c r="F1635" s="8"/>
    </row>
    <row r="1636" spans="6:6" x14ac:dyDescent="0.25">
      <c r="F1636" s="8"/>
    </row>
    <row r="1637" spans="6:6" x14ac:dyDescent="0.25">
      <c r="F1637" s="8"/>
    </row>
    <row r="1638" spans="6:6" x14ac:dyDescent="0.25">
      <c r="F1638" s="8"/>
    </row>
    <row r="1639" spans="6:6" x14ac:dyDescent="0.25">
      <c r="F1639" s="8"/>
    </row>
    <row r="1640" spans="6:6" x14ac:dyDescent="0.25">
      <c r="F1640" s="8"/>
    </row>
    <row r="1641" spans="6:6" x14ac:dyDescent="0.25">
      <c r="F1641" s="8"/>
    </row>
    <row r="1642" spans="6:6" x14ac:dyDescent="0.25">
      <c r="F1642" s="8"/>
    </row>
    <row r="1643" spans="6:6" x14ac:dyDescent="0.25">
      <c r="F1643" s="8"/>
    </row>
    <row r="1644" spans="6:6" x14ac:dyDescent="0.25">
      <c r="F1644" s="8"/>
    </row>
    <row r="1645" spans="6:6" x14ac:dyDescent="0.25">
      <c r="F1645" s="8"/>
    </row>
    <row r="1646" spans="6:6" x14ac:dyDescent="0.25">
      <c r="F1646" s="8"/>
    </row>
    <row r="1647" spans="6:6" x14ac:dyDescent="0.25">
      <c r="F1647" s="8"/>
    </row>
    <row r="1648" spans="6:6" x14ac:dyDescent="0.25">
      <c r="F1648" s="8"/>
    </row>
    <row r="1649" spans="6:6" x14ac:dyDescent="0.25">
      <c r="F1649" s="8"/>
    </row>
    <row r="1650" spans="6:6" x14ac:dyDescent="0.25">
      <c r="F1650" s="8"/>
    </row>
    <row r="1651" spans="6:6" x14ac:dyDescent="0.25">
      <c r="F1651" s="8"/>
    </row>
    <row r="1652" spans="6:6" x14ac:dyDescent="0.25">
      <c r="F1652" s="8"/>
    </row>
    <row r="1653" spans="6:6" x14ac:dyDescent="0.25">
      <c r="F1653" s="8"/>
    </row>
    <row r="1654" spans="6:6" x14ac:dyDescent="0.25">
      <c r="F1654" s="8"/>
    </row>
    <row r="1655" spans="6:6" x14ac:dyDescent="0.25">
      <c r="F1655" s="8"/>
    </row>
    <row r="1656" spans="6:6" x14ac:dyDescent="0.25">
      <c r="F1656" s="8"/>
    </row>
    <row r="1657" spans="6:6" x14ac:dyDescent="0.25">
      <c r="F1657" s="8"/>
    </row>
    <row r="1658" spans="6:6" x14ac:dyDescent="0.25">
      <c r="F1658" s="8"/>
    </row>
    <row r="1659" spans="6:6" x14ac:dyDescent="0.25">
      <c r="F1659" s="8"/>
    </row>
    <row r="1660" spans="6:6" x14ac:dyDescent="0.25">
      <c r="F1660" s="8"/>
    </row>
    <row r="1661" spans="6:6" x14ac:dyDescent="0.25">
      <c r="F1661" s="8"/>
    </row>
    <row r="1662" spans="6:6" x14ac:dyDescent="0.25">
      <c r="F1662" s="8"/>
    </row>
    <row r="1663" spans="6:6" x14ac:dyDescent="0.25">
      <c r="F1663" s="8"/>
    </row>
    <row r="1664" spans="6:6" x14ac:dyDescent="0.25">
      <c r="F1664" s="8"/>
    </row>
    <row r="1665" spans="6:6" x14ac:dyDescent="0.25">
      <c r="F1665" s="8"/>
    </row>
    <row r="1666" spans="6:6" x14ac:dyDescent="0.25">
      <c r="F1666" s="8"/>
    </row>
    <row r="1667" spans="6:6" x14ac:dyDescent="0.25">
      <c r="F1667" s="8"/>
    </row>
    <row r="1668" spans="6:6" x14ac:dyDescent="0.25">
      <c r="F1668" s="8"/>
    </row>
    <row r="1669" spans="6:6" x14ac:dyDescent="0.25">
      <c r="F1669" s="8"/>
    </row>
    <row r="1670" spans="6:6" x14ac:dyDescent="0.25">
      <c r="F1670" s="8"/>
    </row>
    <row r="1671" spans="6:6" x14ac:dyDescent="0.25">
      <c r="F1671" s="8"/>
    </row>
    <row r="1672" spans="6:6" x14ac:dyDescent="0.25">
      <c r="F1672" s="8"/>
    </row>
    <row r="1673" spans="6:6" x14ac:dyDescent="0.25">
      <c r="F1673" s="8"/>
    </row>
    <row r="1674" spans="6:6" x14ac:dyDescent="0.25">
      <c r="F1674" s="8"/>
    </row>
    <row r="1675" spans="6:6" x14ac:dyDescent="0.25">
      <c r="F1675" s="8"/>
    </row>
    <row r="1676" spans="6:6" x14ac:dyDescent="0.25">
      <c r="F1676" s="8"/>
    </row>
    <row r="1677" spans="6:6" x14ac:dyDescent="0.25">
      <c r="F1677" s="8"/>
    </row>
    <row r="1678" spans="6:6" x14ac:dyDescent="0.25">
      <c r="F1678" s="8"/>
    </row>
    <row r="1679" spans="6:6" x14ac:dyDescent="0.25">
      <c r="F1679" s="8"/>
    </row>
    <row r="1680" spans="6:6" x14ac:dyDescent="0.25">
      <c r="F1680" s="8"/>
    </row>
    <row r="1681" spans="6:6" x14ac:dyDescent="0.25">
      <c r="F1681" s="8"/>
    </row>
    <row r="1682" spans="6:6" x14ac:dyDescent="0.25">
      <c r="F1682" s="8"/>
    </row>
    <row r="1683" spans="6:6" x14ac:dyDescent="0.25">
      <c r="F1683" s="8"/>
    </row>
    <row r="1684" spans="6:6" x14ac:dyDescent="0.25">
      <c r="F1684" s="8"/>
    </row>
    <row r="1685" spans="6:6" x14ac:dyDescent="0.25">
      <c r="F1685" s="8"/>
    </row>
    <row r="1686" spans="6:6" x14ac:dyDescent="0.25">
      <c r="F1686" s="8"/>
    </row>
    <row r="1687" spans="6:6" x14ac:dyDescent="0.25">
      <c r="F1687" s="8"/>
    </row>
    <row r="1688" spans="6:6" x14ac:dyDescent="0.25">
      <c r="F1688" s="8"/>
    </row>
    <row r="1689" spans="6:6" x14ac:dyDescent="0.25">
      <c r="F1689" s="8"/>
    </row>
    <row r="1690" spans="6:6" x14ac:dyDescent="0.25">
      <c r="F1690" s="8"/>
    </row>
    <row r="1691" spans="6:6" x14ac:dyDescent="0.25">
      <c r="F1691" s="8"/>
    </row>
    <row r="1692" spans="6:6" x14ac:dyDescent="0.25">
      <c r="F1692" s="8"/>
    </row>
    <row r="1693" spans="6:6" x14ac:dyDescent="0.25">
      <c r="F1693" s="8"/>
    </row>
    <row r="1694" spans="6:6" x14ac:dyDescent="0.25">
      <c r="F1694" s="8"/>
    </row>
    <row r="1695" spans="6:6" x14ac:dyDescent="0.25">
      <c r="F1695" s="8"/>
    </row>
    <row r="1696" spans="6:6" x14ac:dyDescent="0.25">
      <c r="F1696" s="8"/>
    </row>
    <row r="1697" spans="6:6" x14ac:dyDescent="0.25">
      <c r="F1697" s="8"/>
    </row>
    <row r="1698" spans="6:6" x14ac:dyDescent="0.25">
      <c r="F1698" s="8"/>
    </row>
    <row r="1699" spans="6:6" x14ac:dyDescent="0.25">
      <c r="F1699" s="8"/>
    </row>
    <row r="1700" spans="6:6" x14ac:dyDescent="0.25">
      <c r="F1700" s="8"/>
    </row>
    <row r="1701" spans="6:6" x14ac:dyDescent="0.25">
      <c r="F1701" s="8"/>
    </row>
    <row r="1702" spans="6:6" x14ac:dyDescent="0.25">
      <c r="F1702" s="8"/>
    </row>
    <row r="1703" spans="6:6" x14ac:dyDescent="0.25">
      <c r="F1703" s="8"/>
    </row>
    <row r="1704" spans="6:6" x14ac:dyDescent="0.25">
      <c r="F1704" s="8"/>
    </row>
    <row r="1705" spans="6:6" x14ac:dyDescent="0.25">
      <c r="F1705" s="8"/>
    </row>
    <row r="1706" spans="6:6" x14ac:dyDescent="0.25">
      <c r="F1706" s="8"/>
    </row>
    <row r="1707" spans="6:6" x14ac:dyDescent="0.25">
      <c r="F1707" s="8"/>
    </row>
    <row r="1708" spans="6:6" x14ac:dyDescent="0.25">
      <c r="F1708" s="8"/>
    </row>
    <row r="1709" spans="6:6" x14ac:dyDescent="0.25">
      <c r="F1709" s="8"/>
    </row>
    <row r="1710" spans="6:6" x14ac:dyDescent="0.25">
      <c r="F1710" s="8"/>
    </row>
    <row r="1711" spans="6:6" x14ac:dyDescent="0.25">
      <c r="F1711" s="8"/>
    </row>
    <row r="1712" spans="6:6" x14ac:dyDescent="0.25">
      <c r="F1712" s="8"/>
    </row>
    <row r="1713" spans="6:6" x14ac:dyDescent="0.25">
      <c r="F1713" s="8"/>
    </row>
    <row r="1714" spans="6:6" x14ac:dyDescent="0.25">
      <c r="F1714" s="8"/>
    </row>
    <row r="1715" spans="6:6" x14ac:dyDescent="0.25">
      <c r="F1715" s="8"/>
    </row>
    <row r="1716" spans="6:6" x14ac:dyDescent="0.25">
      <c r="F1716" s="8"/>
    </row>
    <row r="1717" spans="6:6" x14ac:dyDescent="0.25">
      <c r="F1717" s="8"/>
    </row>
    <row r="1718" spans="6:6" x14ac:dyDescent="0.25">
      <c r="F1718" s="8"/>
    </row>
    <row r="1719" spans="6:6" x14ac:dyDescent="0.25">
      <c r="F1719" s="8"/>
    </row>
    <row r="1720" spans="6:6" x14ac:dyDescent="0.25">
      <c r="F1720" s="8"/>
    </row>
    <row r="1721" spans="6:6" x14ac:dyDescent="0.25">
      <c r="F1721" s="8"/>
    </row>
    <row r="1722" spans="6:6" x14ac:dyDescent="0.25">
      <c r="F1722" s="8"/>
    </row>
    <row r="1723" spans="6:6" x14ac:dyDescent="0.25">
      <c r="F1723" s="8"/>
    </row>
    <row r="1724" spans="6:6" x14ac:dyDescent="0.25">
      <c r="F1724" s="8"/>
    </row>
    <row r="1725" spans="6:6" x14ac:dyDescent="0.25">
      <c r="F1725" s="8"/>
    </row>
    <row r="1726" spans="6:6" x14ac:dyDescent="0.25">
      <c r="F1726" s="8"/>
    </row>
    <row r="1727" spans="6:6" x14ac:dyDescent="0.25">
      <c r="F1727" s="8"/>
    </row>
    <row r="1728" spans="6:6" x14ac:dyDescent="0.25">
      <c r="F1728" s="8"/>
    </row>
    <row r="1729" spans="6:6" x14ac:dyDescent="0.25">
      <c r="F1729" s="8"/>
    </row>
    <row r="1730" spans="6:6" x14ac:dyDescent="0.25">
      <c r="F1730" s="8"/>
    </row>
    <row r="1731" spans="6:6" x14ac:dyDescent="0.25">
      <c r="F1731" s="8"/>
    </row>
    <row r="1732" spans="6:6" x14ac:dyDescent="0.25">
      <c r="F1732" s="8"/>
    </row>
    <row r="1733" spans="6:6" x14ac:dyDescent="0.25">
      <c r="F1733" s="8"/>
    </row>
    <row r="1734" spans="6:6" x14ac:dyDescent="0.25">
      <c r="F1734" s="8"/>
    </row>
    <row r="1735" spans="6:6" x14ac:dyDescent="0.25">
      <c r="F1735" s="8"/>
    </row>
    <row r="1736" spans="6:6" x14ac:dyDescent="0.25">
      <c r="F1736" s="8"/>
    </row>
    <row r="1737" spans="6:6" x14ac:dyDescent="0.25">
      <c r="F1737" s="8"/>
    </row>
    <row r="1738" spans="6:6" x14ac:dyDescent="0.25">
      <c r="F1738" s="8"/>
    </row>
    <row r="1739" spans="6:6" x14ac:dyDescent="0.25">
      <c r="F1739" s="8"/>
    </row>
    <row r="1740" spans="6:6" x14ac:dyDescent="0.25">
      <c r="F1740" s="8"/>
    </row>
    <row r="1741" spans="6:6" x14ac:dyDescent="0.25">
      <c r="F1741" s="8"/>
    </row>
    <row r="1742" spans="6:6" x14ac:dyDescent="0.25">
      <c r="F1742" s="8"/>
    </row>
    <row r="1743" spans="6:6" x14ac:dyDescent="0.25">
      <c r="F1743" s="8"/>
    </row>
    <row r="1744" spans="6:6" x14ac:dyDescent="0.25">
      <c r="F1744" s="8"/>
    </row>
    <row r="1745" spans="6:6" x14ac:dyDescent="0.25">
      <c r="F1745" s="8"/>
    </row>
    <row r="1746" spans="6:6" x14ac:dyDescent="0.25">
      <c r="F1746" s="8"/>
    </row>
    <row r="1747" spans="6:6" x14ac:dyDescent="0.25">
      <c r="F1747" s="8"/>
    </row>
    <row r="1748" spans="6:6" x14ac:dyDescent="0.25">
      <c r="F1748" s="8"/>
    </row>
    <row r="1749" spans="6:6" x14ac:dyDescent="0.25">
      <c r="F1749" s="8"/>
    </row>
    <row r="1750" spans="6:6" x14ac:dyDescent="0.25">
      <c r="F1750" s="8"/>
    </row>
    <row r="1751" spans="6:6" x14ac:dyDescent="0.25">
      <c r="F1751" s="8"/>
    </row>
    <row r="1752" spans="6:6" x14ac:dyDescent="0.25">
      <c r="F1752" s="8"/>
    </row>
    <row r="1753" spans="6:6" x14ac:dyDescent="0.25">
      <c r="F1753" s="8"/>
    </row>
    <row r="1754" spans="6:6" x14ac:dyDescent="0.25">
      <c r="F1754" s="8"/>
    </row>
    <row r="1755" spans="6:6" x14ac:dyDescent="0.25">
      <c r="F1755" s="8"/>
    </row>
    <row r="1756" spans="6:6" x14ac:dyDescent="0.25">
      <c r="F1756" s="8"/>
    </row>
    <row r="1757" spans="6:6" x14ac:dyDescent="0.25">
      <c r="F1757" s="8"/>
    </row>
    <row r="1758" spans="6:6" x14ac:dyDescent="0.25">
      <c r="F1758" s="8"/>
    </row>
    <row r="1759" spans="6:6" x14ac:dyDescent="0.25">
      <c r="F1759" s="8"/>
    </row>
    <row r="1760" spans="6:6" x14ac:dyDescent="0.25">
      <c r="F1760" s="8"/>
    </row>
    <row r="1761" spans="6:6" x14ac:dyDescent="0.25">
      <c r="F1761" s="8"/>
    </row>
    <row r="1762" spans="6:6" x14ac:dyDescent="0.25">
      <c r="F1762" s="8"/>
    </row>
    <row r="1763" spans="6:6" x14ac:dyDescent="0.25">
      <c r="F1763" s="8"/>
    </row>
    <row r="1764" spans="6:6" x14ac:dyDescent="0.25">
      <c r="F1764" s="8"/>
    </row>
    <row r="1765" spans="6:6" x14ac:dyDescent="0.25">
      <c r="F1765" s="8"/>
    </row>
    <row r="1766" spans="6:6" x14ac:dyDescent="0.25">
      <c r="F1766" s="8"/>
    </row>
    <row r="1767" spans="6:6" x14ac:dyDescent="0.25">
      <c r="F1767" s="8"/>
    </row>
    <row r="1768" spans="6:6" x14ac:dyDescent="0.25">
      <c r="F1768" s="8"/>
    </row>
    <row r="1769" spans="6:6" x14ac:dyDescent="0.25">
      <c r="F1769" s="8"/>
    </row>
    <row r="1770" spans="6:6" x14ac:dyDescent="0.25">
      <c r="F1770" s="8"/>
    </row>
    <row r="1771" spans="6:6" x14ac:dyDescent="0.25">
      <c r="F1771" s="8"/>
    </row>
    <row r="1772" spans="6:6" x14ac:dyDescent="0.25">
      <c r="F1772" s="8"/>
    </row>
    <row r="1773" spans="6:6" x14ac:dyDescent="0.25">
      <c r="F1773" s="8"/>
    </row>
    <row r="1774" spans="6:6" x14ac:dyDescent="0.25">
      <c r="F1774" s="8"/>
    </row>
    <row r="1775" spans="6:6" x14ac:dyDescent="0.25">
      <c r="F1775" s="8"/>
    </row>
    <row r="1776" spans="6:6" x14ac:dyDescent="0.25">
      <c r="F1776" s="8"/>
    </row>
    <row r="1777" spans="6:6" x14ac:dyDescent="0.25">
      <c r="F1777" s="8"/>
    </row>
    <row r="1778" spans="6:6" x14ac:dyDescent="0.25">
      <c r="F1778" s="8"/>
    </row>
    <row r="1779" spans="6:6" x14ac:dyDescent="0.25">
      <c r="F1779" s="8"/>
    </row>
    <row r="1780" spans="6:6" x14ac:dyDescent="0.25">
      <c r="F1780" s="8"/>
    </row>
    <row r="1781" spans="6:6" x14ac:dyDescent="0.25">
      <c r="F1781" s="8"/>
    </row>
    <row r="1782" spans="6:6" x14ac:dyDescent="0.25">
      <c r="F1782" s="8"/>
    </row>
    <row r="1783" spans="6:6" x14ac:dyDescent="0.25">
      <c r="F1783" s="8"/>
    </row>
    <row r="1784" spans="6:6" x14ac:dyDescent="0.25">
      <c r="F1784" s="8"/>
    </row>
    <row r="1785" spans="6:6" x14ac:dyDescent="0.25">
      <c r="F1785" s="8"/>
    </row>
    <row r="1786" spans="6:6" x14ac:dyDescent="0.25">
      <c r="F1786" s="8"/>
    </row>
    <row r="1787" spans="6:6" x14ac:dyDescent="0.25">
      <c r="F1787" s="8"/>
    </row>
    <row r="1788" spans="6:6" x14ac:dyDescent="0.25">
      <c r="F1788" s="8"/>
    </row>
    <row r="1789" spans="6:6" x14ac:dyDescent="0.25">
      <c r="F1789" s="8"/>
    </row>
    <row r="1790" spans="6:6" x14ac:dyDescent="0.25">
      <c r="F1790" s="8"/>
    </row>
    <row r="1791" spans="6:6" x14ac:dyDescent="0.25">
      <c r="F1791" s="8"/>
    </row>
    <row r="1792" spans="6:6" x14ac:dyDescent="0.25">
      <c r="F1792" s="8"/>
    </row>
    <row r="1793" spans="6:6" x14ac:dyDescent="0.25">
      <c r="F1793" s="8"/>
    </row>
    <row r="1794" spans="6:6" x14ac:dyDescent="0.25">
      <c r="F1794" s="8"/>
    </row>
    <row r="1795" spans="6:6" x14ac:dyDescent="0.25">
      <c r="F1795" s="8"/>
    </row>
    <row r="1796" spans="6:6" x14ac:dyDescent="0.25">
      <c r="F1796" s="8"/>
    </row>
    <row r="1797" spans="6:6" x14ac:dyDescent="0.25">
      <c r="F1797" s="8"/>
    </row>
    <row r="1798" spans="6:6" x14ac:dyDescent="0.25">
      <c r="F1798" s="8"/>
    </row>
    <row r="1799" spans="6:6" x14ac:dyDescent="0.25">
      <c r="F1799" s="8"/>
    </row>
    <row r="1800" spans="6:6" x14ac:dyDescent="0.25">
      <c r="F1800" s="8"/>
    </row>
    <row r="1801" spans="6:6" x14ac:dyDescent="0.25">
      <c r="F1801" s="8"/>
    </row>
    <row r="1802" spans="6:6" x14ac:dyDescent="0.25">
      <c r="F1802" s="8"/>
    </row>
    <row r="1803" spans="6:6" x14ac:dyDescent="0.25">
      <c r="F1803" s="8"/>
    </row>
    <row r="1804" spans="6:6" x14ac:dyDescent="0.25">
      <c r="F1804" s="8"/>
    </row>
    <row r="1805" spans="6:6" x14ac:dyDescent="0.25">
      <c r="F1805" s="8"/>
    </row>
    <row r="1806" spans="6:6" x14ac:dyDescent="0.25">
      <c r="F1806" s="8"/>
    </row>
    <row r="1807" spans="6:6" x14ac:dyDescent="0.25">
      <c r="F1807" s="8"/>
    </row>
    <row r="1808" spans="6:6" x14ac:dyDescent="0.25">
      <c r="F1808" s="8"/>
    </row>
    <row r="1809" spans="6:6" x14ac:dyDescent="0.25">
      <c r="F1809" s="8"/>
    </row>
    <row r="1810" spans="6:6" x14ac:dyDescent="0.25">
      <c r="F1810" s="8"/>
    </row>
    <row r="1811" spans="6:6" x14ac:dyDescent="0.25">
      <c r="F1811" s="8"/>
    </row>
    <row r="1812" spans="6:6" x14ac:dyDescent="0.25">
      <c r="F1812" s="8"/>
    </row>
    <row r="1813" spans="6:6" x14ac:dyDescent="0.25">
      <c r="F1813" s="8"/>
    </row>
    <row r="1814" spans="6:6" x14ac:dyDescent="0.25">
      <c r="F1814" s="8"/>
    </row>
    <row r="1815" spans="6:6" x14ac:dyDescent="0.25">
      <c r="F1815" s="8"/>
    </row>
    <row r="1816" spans="6:6" x14ac:dyDescent="0.25">
      <c r="F1816" s="8"/>
    </row>
    <row r="1817" spans="6:6" x14ac:dyDescent="0.25">
      <c r="F1817" s="8"/>
    </row>
    <row r="1818" spans="6:6" x14ac:dyDescent="0.25">
      <c r="F1818" s="8"/>
    </row>
    <row r="1819" spans="6:6" x14ac:dyDescent="0.25">
      <c r="F1819" s="8"/>
    </row>
    <row r="1820" spans="6:6" x14ac:dyDescent="0.25">
      <c r="F1820" s="8"/>
    </row>
    <row r="1821" spans="6:6" x14ac:dyDescent="0.25">
      <c r="F1821" s="8"/>
    </row>
    <row r="1822" spans="6:6" x14ac:dyDescent="0.25">
      <c r="F1822" s="8"/>
    </row>
    <row r="1823" spans="6:6" x14ac:dyDescent="0.25">
      <c r="F1823" s="8"/>
    </row>
    <row r="1824" spans="6:6" x14ac:dyDescent="0.25">
      <c r="F1824" s="8"/>
    </row>
    <row r="1825" spans="6:6" x14ac:dyDescent="0.25">
      <c r="F1825" s="8"/>
    </row>
    <row r="1826" spans="6:6" x14ac:dyDescent="0.25">
      <c r="F1826" s="8"/>
    </row>
    <row r="1827" spans="6:6" x14ac:dyDescent="0.25">
      <c r="F1827" s="8"/>
    </row>
    <row r="1828" spans="6:6" x14ac:dyDescent="0.25">
      <c r="F1828" s="8"/>
    </row>
    <row r="1829" spans="6:6" x14ac:dyDescent="0.25">
      <c r="F1829" s="8"/>
    </row>
    <row r="1830" spans="6:6" x14ac:dyDescent="0.25">
      <c r="F1830" s="8"/>
    </row>
    <row r="1831" spans="6:6" x14ac:dyDescent="0.25">
      <c r="F1831" s="8"/>
    </row>
    <row r="1832" spans="6:6" x14ac:dyDescent="0.25">
      <c r="F1832" s="8"/>
    </row>
    <row r="1833" spans="6:6" x14ac:dyDescent="0.25">
      <c r="F1833" s="8"/>
    </row>
    <row r="1834" spans="6:6" x14ac:dyDescent="0.25">
      <c r="F1834" s="8"/>
    </row>
    <row r="1835" spans="6:6" x14ac:dyDescent="0.25">
      <c r="F1835" s="8"/>
    </row>
    <row r="1836" spans="6:6" x14ac:dyDescent="0.25">
      <c r="F1836" s="8"/>
    </row>
    <row r="1837" spans="6:6" x14ac:dyDescent="0.25">
      <c r="F1837" s="8"/>
    </row>
    <row r="1838" spans="6:6" x14ac:dyDescent="0.25">
      <c r="F1838" s="8"/>
    </row>
    <row r="1839" spans="6:6" x14ac:dyDescent="0.25">
      <c r="F1839" s="8"/>
    </row>
    <row r="1840" spans="6:6" x14ac:dyDescent="0.25">
      <c r="F1840" s="8"/>
    </row>
    <row r="1841" spans="6:6" x14ac:dyDescent="0.25">
      <c r="F1841" s="8"/>
    </row>
    <row r="1842" spans="6:6" x14ac:dyDescent="0.25">
      <c r="F1842" s="8"/>
    </row>
    <row r="1843" spans="6:6" x14ac:dyDescent="0.25">
      <c r="F1843" s="8"/>
    </row>
    <row r="1844" spans="6:6" x14ac:dyDescent="0.25">
      <c r="F1844" s="8"/>
    </row>
    <row r="1845" spans="6:6" x14ac:dyDescent="0.25">
      <c r="F1845" s="8"/>
    </row>
    <row r="1846" spans="6:6" x14ac:dyDescent="0.25">
      <c r="F1846" s="8"/>
    </row>
    <row r="1847" spans="6:6" x14ac:dyDescent="0.25">
      <c r="F1847" s="8"/>
    </row>
    <row r="1848" spans="6:6" x14ac:dyDescent="0.25">
      <c r="F1848" s="8"/>
    </row>
    <row r="1849" spans="6:6" x14ac:dyDescent="0.25">
      <c r="F1849" s="8"/>
    </row>
    <row r="1850" spans="6:6" x14ac:dyDescent="0.25">
      <c r="F1850" s="8"/>
    </row>
    <row r="1851" spans="6:6" x14ac:dyDescent="0.25">
      <c r="F1851" s="8"/>
    </row>
    <row r="1852" spans="6:6" x14ac:dyDescent="0.25">
      <c r="F1852" s="8"/>
    </row>
    <row r="1853" spans="6:6" x14ac:dyDescent="0.25">
      <c r="F1853" s="8"/>
    </row>
    <row r="1854" spans="6:6" x14ac:dyDescent="0.25">
      <c r="F1854" s="8"/>
    </row>
    <row r="1855" spans="6:6" x14ac:dyDescent="0.25">
      <c r="F1855" s="8"/>
    </row>
    <row r="1856" spans="6:6" x14ac:dyDescent="0.25">
      <c r="F1856" s="8"/>
    </row>
    <row r="1857" spans="6:6" x14ac:dyDescent="0.25">
      <c r="F1857" s="8"/>
    </row>
    <row r="1858" spans="6:6" x14ac:dyDescent="0.25">
      <c r="F1858" s="8"/>
    </row>
    <row r="1859" spans="6:6" x14ac:dyDescent="0.25">
      <c r="F1859" s="8"/>
    </row>
    <row r="1860" spans="6:6" x14ac:dyDescent="0.25">
      <c r="F1860" s="8"/>
    </row>
    <row r="1861" spans="6:6" x14ac:dyDescent="0.25">
      <c r="F1861" s="8"/>
    </row>
    <row r="1862" spans="6:6" x14ac:dyDescent="0.25">
      <c r="F1862" s="8"/>
    </row>
    <row r="1863" spans="6:6" x14ac:dyDescent="0.25">
      <c r="F1863" s="8"/>
    </row>
    <row r="1864" spans="6:6" x14ac:dyDescent="0.25">
      <c r="F1864" s="8"/>
    </row>
    <row r="1865" spans="6:6" x14ac:dyDescent="0.25">
      <c r="F1865" s="8"/>
    </row>
    <row r="1866" spans="6:6" x14ac:dyDescent="0.25">
      <c r="F1866" s="8"/>
    </row>
    <row r="1867" spans="6:6" x14ac:dyDescent="0.25">
      <c r="F1867" s="8"/>
    </row>
    <row r="1868" spans="6:6" x14ac:dyDescent="0.25">
      <c r="F1868" s="8"/>
    </row>
    <row r="1869" spans="6:6" x14ac:dyDescent="0.25">
      <c r="F1869" s="8"/>
    </row>
    <row r="1870" spans="6:6" x14ac:dyDescent="0.25">
      <c r="F1870" s="8"/>
    </row>
    <row r="1871" spans="6:6" x14ac:dyDescent="0.25">
      <c r="F1871" s="8"/>
    </row>
    <row r="1872" spans="6:6" x14ac:dyDescent="0.25">
      <c r="F1872" s="8"/>
    </row>
    <row r="1873" spans="6:6" x14ac:dyDescent="0.25">
      <c r="F1873" s="8"/>
    </row>
    <row r="1874" spans="6:6" x14ac:dyDescent="0.25">
      <c r="F1874" s="8"/>
    </row>
    <row r="1875" spans="6:6" x14ac:dyDescent="0.25">
      <c r="F1875" s="8"/>
    </row>
    <row r="1876" spans="6:6" x14ac:dyDescent="0.25">
      <c r="F1876" s="8"/>
    </row>
    <row r="1877" spans="6:6" x14ac:dyDescent="0.25">
      <c r="F1877" s="8"/>
    </row>
    <row r="1878" spans="6:6" x14ac:dyDescent="0.25">
      <c r="F1878" s="8"/>
    </row>
    <row r="1879" spans="6:6" x14ac:dyDescent="0.25">
      <c r="F1879" s="8"/>
    </row>
    <row r="1880" spans="6:6" x14ac:dyDescent="0.25">
      <c r="F1880" s="8"/>
    </row>
    <row r="1881" spans="6:6" x14ac:dyDescent="0.25">
      <c r="F1881" s="8"/>
    </row>
    <row r="1882" spans="6:6" x14ac:dyDescent="0.25">
      <c r="F1882" s="8"/>
    </row>
    <row r="1883" spans="6:6" x14ac:dyDescent="0.25">
      <c r="F1883" s="8"/>
    </row>
    <row r="1884" spans="6:6" x14ac:dyDescent="0.25">
      <c r="F1884" s="8"/>
    </row>
    <row r="1885" spans="6:6" x14ac:dyDescent="0.25">
      <c r="F1885" s="8"/>
    </row>
    <row r="1886" spans="6:6" x14ac:dyDescent="0.25">
      <c r="F1886" s="8"/>
    </row>
    <row r="1887" spans="6:6" x14ac:dyDescent="0.25">
      <c r="F1887" s="8"/>
    </row>
    <row r="1888" spans="6:6" x14ac:dyDescent="0.25">
      <c r="F1888" s="8"/>
    </row>
    <row r="1889" spans="6:6" x14ac:dyDescent="0.25">
      <c r="F1889" s="8"/>
    </row>
    <row r="1890" spans="6:6" x14ac:dyDescent="0.25">
      <c r="F1890" s="8"/>
    </row>
    <row r="1891" spans="6:6" x14ac:dyDescent="0.25">
      <c r="F1891" s="8"/>
    </row>
    <row r="1892" spans="6:6" x14ac:dyDescent="0.25">
      <c r="F1892" s="8"/>
    </row>
    <row r="1893" spans="6:6" x14ac:dyDescent="0.25">
      <c r="F1893" s="8"/>
    </row>
    <row r="1894" spans="6:6" x14ac:dyDescent="0.25">
      <c r="F1894" s="8"/>
    </row>
    <row r="1895" spans="6:6" x14ac:dyDescent="0.25">
      <c r="F1895" s="8"/>
    </row>
    <row r="1896" spans="6:6" x14ac:dyDescent="0.25">
      <c r="F1896" s="8"/>
    </row>
    <row r="1897" spans="6:6" x14ac:dyDescent="0.25">
      <c r="F1897" s="8"/>
    </row>
    <row r="1898" spans="6:6" x14ac:dyDescent="0.25">
      <c r="F1898" s="8"/>
    </row>
    <row r="1899" spans="6:6" x14ac:dyDescent="0.25">
      <c r="F1899" s="8"/>
    </row>
    <row r="1900" spans="6:6" x14ac:dyDescent="0.25">
      <c r="F1900" s="8"/>
    </row>
    <row r="1901" spans="6:6" x14ac:dyDescent="0.25">
      <c r="F1901" s="8"/>
    </row>
    <row r="1902" spans="6:6" x14ac:dyDescent="0.25">
      <c r="F1902" s="8"/>
    </row>
    <row r="1903" spans="6:6" x14ac:dyDescent="0.25">
      <c r="F1903" s="8"/>
    </row>
    <row r="1904" spans="6:6" x14ac:dyDescent="0.25">
      <c r="F1904" s="8"/>
    </row>
    <row r="1905" spans="6:6" x14ac:dyDescent="0.25">
      <c r="F1905" s="8"/>
    </row>
    <row r="1906" spans="6:6" x14ac:dyDescent="0.25">
      <c r="F1906" s="8"/>
    </row>
    <row r="1907" spans="6:6" x14ac:dyDescent="0.25">
      <c r="F1907" s="8"/>
    </row>
    <row r="1908" spans="6:6" x14ac:dyDescent="0.25">
      <c r="F1908" s="8"/>
    </row>
    <row r="1909" spans="6:6" x14ac:dyDescent="0.25">
      <c r="F1909" s="8"/>
    </row>
    <row r="1910" spans="6:6" x14ac:dyDescent="0.25">
      <c r="F1910" s="8"/>
    </row>
    <row r="1911" spans="6:6" x14ac:dyDescent="0.25">
      <c r="F1911" s="8"/>
    </row>
    <row r="1912" spans="6:6" x14ac:dyDescent="0.25">
      <c r="F1912" s="8"/>
    </row>
    <row r="1913" spans="6:6" x14ac:dyDescent="0.25">
      <c r="F1913" s="8"/>
    </row>
    <row r="1914" spans="6:6" x14ac:dyDescent="0.25">
      <c r="F1914" s="8"/>
    </row>
    <row r="1915" spans="6:6" x14ac:dyDescent="0.25">
      <c r="F1915" s="8"/>
    </row>
    <row r="1916" spans="6:6" x14ac:dyDescent="0.25">
      <c r="F1916" s="8"/>
    </row>
    <row r="1917" spans="6:6" x14ac:dyDescent="0.25">
      <c r="F1917" s="8"/>
    </row>
    <row r="1918" spans="6:6" x14ac:dyDescent="0.25">
      <c r="F1918" s="8"/>
    </row>
    <row r="1919" spans="6:6" x14ac:dyDescent="0.25">
      <c r="F1919" s="8"/>
    </row>
    <row r="1920" spans="6:6" x14ac:dyDescent="0.25">
      <c r="F1920" s="8"/>
    </row>
    <row r="1921" spans="6:6" x14ac:dyDescent="0.25">
      <c r="F1921" s="8"/>
    </row>
    <row r="1922" spans="6:6" x14ac:dyDescent="0.25">
      <c r="F1922" s="8"/>
    </row>
    <row r="1923" spans="6:6" x14ac:dyDescent="0.25">
      <c r="F1923" s="8"/>
    </row>
    <row r="1924" spans="6:6" x14ac:dyDescent="0.25">
      <c r="F1924" s="8"/>
    </row>
    <row r="1925" spans="6:6" x14ac:dyDescent="0.25">
      <c r="F1925" s="8"/>
    </row>
    <row r="1926" spans="6:6" x14ac:dyDescent="0.25">
      <c r="F1926" s="8"/>
    </row>
    <row r="1927" spans="6:6" x14ac:dyDescent="0.25">
      <c r="F1927" s="8"/>
    </row>
    <row r="1928" spans="6:6" x14ac:dyDescent="0.25">
      <c r="F1928" s="8"/>
    </row>
    <row r="1929" spans="6:6" x14ac:dyDescent="0.25">
      <c r="F1929" s="8"/>
    </row>
    <row r="1930" spans="6:6" x14ac:dyDescent="0.25">
      <c r="F1930" s="8"/>
    </row>
    <row r="1931" spans="6:6" x14ac:dyDescent="0.25">
      <c r="F1931" s="8"/>
    </row>
    <row r="1932" spans="6:6" x14ac:dyDescent="0.25">
      <c r="F1932" s="8"/>
    </row>
    <row r="1933" spans="6:6" x14ac:dyDescent="0.25">
      <c r="F1933" s="8"/>
    </row>
    <row r="1934" spans="6:6" x14ac:dyDescent="0.25">
      <c r="F1934" s="8"/>
    </row>
    <row r="1935" spans="6:6" x14ac:dyDescent="0.25">
      <c r="F1935" s="8"/>
    </row>
    <row r="1936" spans="6:6" x14ac:dyDescent="0.25">
      <c r="F1936" s="8"/>
    </row>
    <row r="1937" spans="6:6" x14ac:dyDescent="0.25">
      <c r="F1937" s="8"/>
    </row>
    <row r="1938" spans="6:6" x14ac:dyDescent="0.25">
      <c r="F1938" s="8"/>
    </row>
    <row r="1939" spans="6:6" x14ac:dyDescent="0.25">
      <c r="F1939" s="8"/>
    </row>
    <row r="1940" spans="6:6" x14ac:dyDescent="0.25">
      <c r="F1940" s="8"/>
    </row>
    <row r="1941" spans="6:6" x14ac:dyDescent="0.25">
      <c r="F1941" s="8"/>
    </row>
    <row r="1942" spans="6:6" x14ac:dyDescent="0.25">
      <c r="F1942" s="8"/>
    </row>
    <row r="1943" spans="6:6" x14ac:dyDescent="0.25">
      <c r="F1943" s="8"/>
    </row>
    <row r="1944" spans="6:6" x14ac:dyDescent="0.25">
      <c r="F1944" s="8"/>
    </row>
    <row r="1945" spans="6:6" x14ac:dyDescent="0.25">
      <c r="F1945" s="8"/>
    </row>
    <row r="1946" spans="6:6" x14ac:dyDescent="0.25">
      <c r="F1946" s="8"/>
    </row>
    <row r="1947" spans="6:6" x14ac:dyDescent="0.25">
      <c r="F1947" s="8"/>
    </row>
    <row r="1948" spans="6:6" x14ac:dyDescent="0.25">
      <c r="F1948" s="8"/>
    </row>
    <row r="1949" spans="6:6" x14ac:dyDescent="0.25">
      <c r="F1949" s="8"/>
    </row>
    <row r="1950" spans="6:6" x14ac:dyDescent="0.25">
      <c r="F1950" s="8"/>
    </row>
    <row r="1951" spans="6:6" x14ac:dyDescent="0.25">
      <c r="F1951" s="8"/>
    </row>
    <row r="1952" spans="6:6" x14ac:dyDescent="0.25">
      <c r="F1952" s="8"/>
    </row>
    <row r="1953" spans="6:6" x14ac:dyDescent="0.25">
      <c r="F1953" s="8"/>
    </row>
    <row r="1954" spans="6:6" x14ac:dyDescent="0.25">
      <c r="F1954" s="8"/>
    </row>
    <row r="1955" spans="6:6" x14ac:dyDescent="0.25">
      <c r="F1955" s="8"/>
    </row>
    <row r="1956" spans="6:6" x14ac:dyDescent="0.25">
      <c r="F1956" s="8"/>
    </row>
    <row r="1957" spans="6:6" x14ac:dyDescent="0.25">
      <c r="F1957" s="8"/>
    </row>
    <row r="1958" spans="6:6" x14ac:dyDescent="0.25">
      <c r="F1958" s="8"/>
    </row>
    <row r="1959" spans="6:6" x14ac:dyDescent="0.25">
      <c r="F1959" s="8"/>
    </row>
    <row r="1960" spans="6:6" x14ac:dyDescent="0.25">
      <c r="F1960" s="8"/>
    </row>
    <row r="1961" spans="6:6" x14ac:dyDescent="0.25">
      <c r="F1961" s="8"/>
    </row>
    <row r="1962" spans="6:6" x14ac:dyDescent="0.25">
      <c r="F1962" s="8"/>
    </row>
    <row r="1963" spans="6:6" x14ac:dyDescent="0.25">
      <c r="F1963" s="8"/>
    </row>
    <row r="1964" spans="6:6" x14ac:dyDescent="0.25">
      <c r="F1964" s="8"/>
    </row>
    <row r="1965" spans="6:6" x14ac:dyDescent="0.25">
      <c r="F1965" s="8"/>
    </row>
    <row r="1966" spans="6:6" x14ac:dyDescent="0.25">
      <c r="F1966" s="8"/>
    </row>
    <row r="1967" spans="6:6" x14ac:dyDescent="0.25">
      <c r="F1967" s="8"/>
    </row>
    <row r="1968" spans="6:6" x14ac:dyDescent="0.25">
      <c r="F1968" s="8"/>
    </row>
    <row r="1969" spans="6:6" x14ac:dyDescent="0.25">
      <c r="F1969" s="8"/>
    </row>
    <row r="1970" spans="6:6" x14ac:dyDescent="0.25">
      <c r="F1970" s="8"/>
    </row>
    <row r="1971" spans="6:6" x14ac:dyDescent="0.25">
      <c r="F1971" s="8"/>
    </row>
    <row r="1972" spans="6:6" x14ac:dyDescent="0.25">
      <c r="F1972" s="8"/>
    </row>
    <row r="1973" spans="6:6" x14ac:dyDescent="0.25">
      <c r="F1973" s="8"/>
    </row>
    <row r="1974" spans="6:6" x14ac:dyDescent="0.25">
      <c r="F1974" s="8"/>
    </row>
    <row r="1975" spans="6:6" x14ac:dyDescent="0.25">
      <c r="F1975" s="8"/>
    </row>
    <row r="1976" spans="6:6" x14ac:dyDescent="0.25">
      <c r="F1976" s="8"/>
    </row>
    <row r="1977" spans="6:6" x14ac:dyDescent="0.25">
      <c r="F1977" s="8"/>
    </row>
    <row r="1978" spans="6:6" x14ac:dyDescent="0.25">
      <c r="F1978" s="8"/>
    </row>
    <row r="1979" spans="6:6" x14ac:dyDescent="0.25">
      <c r="F1979" s="8"/>
    </row>
    <row r="1980" spans="6:6" x14ac:dyDescent="0.25">
      <c r="F1980" s="8"/>
    </row>
    <row r="1981" spans="6:6" x14ac:dyDescent="0.25">
      <c r="F1981" s="8"/>
    </row>
    <row r="1982" spans="6:6" x14ac:dyDescent="0.25">
      <c r="F1982" s="8"/>
    </row>
    <row r="1983" spans="6:6" x14ac:dyDescent="0.25">
      <c r="F1983" s="8"/>
    </row>
    <row r="1984" spans="6:6" x14ac:dyDescent="0.25">
      <c r="F1984" s="8"/>
    </row>
    <row r="1985" spans="6:6" x14ac:dyDescent="0.25">
      <c r="F1985" s="8"/>
    </row>
    <row r="1986" spans="6:6" x14ac:dyDescent="0.25">
      <c r="F1986" s="8"/>
    </row>
    <row r="1987" spans="6:6" x14ac:dyDescent="0.25">
      <c r="F1987" s="8"/>
    </row>
    <row r="1988" spans="6:6" x14ac:dyDescent="0.25">
      <c r="F1988" s="8"/>
    </row>
    <row r="1989" spans="6:6" x14ac:dyDescent="0.25">
      <c r="F1989" s="8"/>
    </row>
    <row r="1990" spans="6:6" x14ac:dyDescent="0.25">
      <c r="F1990" s="8"/>
    </row>
    <row r="1991" spans="6:6" x14ac:dyDescent="0.25">
      <c r="F1991" s="8"/>
    </row>
    <row r="1992" spans="6:6" x14ac:dyDescent="0.25">
      <c r="F1992" s="8"/>
    </row>
    <row r="1993" spans="6:6" x14ac:dyDescent="0.25">
      <c r="F1993" s="8"/>
    </row>
    <row r="1994" spans="6:6" x14ac:dyDescent="0.25">
      <c r="F1994" s="8"/>
    </row>
    <row r="1995" spans="6:6" x14ac:dyDescent="0.25">
      <c r="F1995" s="8"/>
    </row>
    <row r="1996" spans="6:6" x14ac:dyDescent="0.25">
      <c r="F1996" s="8"/>
    </row>
    <row r="1997" spans="6:6" x14ac:dyDescent="0.25">
      <c r="F1997" s="8"/>
    </row>
    <row r="1998" spans="6:6" x14ac:dyDescent="0.25">
      <c r="F1998" s="8"/>
    </row>
    <row r="1999" spans="6:6" x14ac:dyDescent="0.25">
      <c r="F1999" s="8"/>
    </row>
    <row r="2000" spans="6:6" x14ac:dyDescent="0.25">
      <c r="F2000" s="8"/>
    </row>
    <row r="2001" spans="6:6" x14ac:dyDescent="0.25">
      <c r="F2001" s="8"/>
    </row>
    <row r="2002" spans="6:6" x14ac:dyDescent="0.25">
      <c r="F2002" s="8"/>
    </row>
    <row r="2003" spans="6:6" x14ac:dyDescent="0.25">
      <c r="F2003" s="8"/>
    </row>
    <row r="2004" spans="6:6" x14ac:dyDescent="0.25">
      <c r="F2004" s="8"/>
    </row>
    <row r="2005" spans="6:6" x14ac:dyDescent="0.25">
      <c r="F2005" s="8"/>
    </row>
    <row r="2006" spans="6:6" x14ac:dyDescent="0.25">
      <c r="F2006" s="8"/>
    </row>
    <row r="2007" spans="6:6" x14ac:dyDescent="0.25">
      <c r="F2007" s="8"/>
    </row>
    <row r="2008" spans="6:6" x14ac:dyDescent="0.25">
      <c r="F2008" s="8"/>
    </row>
    <row r="2009" spans="6:6" x14ac:dyDescent="0.25">
      <c r="F2009" s="8"/>
    </row>
    <row r="2010" spans="6:6" x14ac:dyDescent="0.25">
      <c r="F2010" s="8"/>
    </row>
    <row r="2011" spans="6:6" x14ac:dyDescent="0.25">
      <c r="F2011" s="8"/>
    </row>
    <row r="2012" spans="6:6" x14ac:dyDescent="0.25">
      <c r="F2012" s="8"/>
    </row>
    <row r="2013" spans="6:6" x14ac:dyDescent="0.25">
      <c r="F2013" s="8"/>
    </row>
    <row r="2014" spans="6:6" x14ac:dyDescent="0.25">
      <c r="F2014" s="8"/>
    </row>
    <row r="2015" spans="6:6" x14ac:dyDescent="0.25">
      <c r="F2015" s="8"/>
    </row>
    <row r="2016" spans="6:6" x14ac:dyDescent="0.25">
      <c r="F2016" s="8"/>
    </row>
    <row r="2017" spans="6:6" x14ac:dyDescent="0.25">
      <c r="F2017" s="8"/>
    </row>
    <row r="2018" spans="6:6" x14ac:dyDescent="0.25">
      <c r="F2018" s="8"/>
    </row>
    <row r="2019" spans="6:6" x14ac:dyDescent="0.25">
      <c r="F2019" s="8"/>
    </row>
    <row r="2020" spans="6:6" x14ac:dyDescent="0.25">
      <c r="F2020" s="8"/>
    </row>
    <row r="2021" spans="6:6" x14ac:dyDescent="0.25">
      <c r="F2021" s="8"/>
    </row>
    <row r="2022" spans="6:6" x14ac:dyDescent="0.25">
      <c r="F2022" s="8"/>
    </row>
    <row r="2023" spans="6:6" x14ac:dyDescent="0.25">
      <c r="F2023" s="8"/>
    </row>
    <row r="2024" spans="6:6" x14ac:dyDescent="0.25">
      <c r="F2024" s="8"/>
    </row>
    <row r="2025" spans="6:6" x14ac:dyDescent="0.25">
      <c r="F2025" s="8"/>
    </row>
    <row r="2026" spans="6:6" x14ac:dyDescent="0.25">
      <c r="F2026" s="8"/>
    </row>
    <row r="2027" spans="6:6" x14ac:dyDescent="0.25">
      <c r="F2027" s="8"/>
    </row>
    <row r="2028" spans="6:6" x14ac:dyDescent="0.25">
      <c r="F2028" s="8"/>
    </row>
    <row r="2029" spans="6:6" x14ac:dyDescent="0.25">
      <c r="F2029" s="8"/>
    </row>
    <row r="2030" spans="6:6" x14ac:dyDescent="0.25">
      <c r="F2030" s="8"/>
    </row>
    <row r="2031" spans="6:6" x14ac:dyDescent="0.25">
      <c r="F2031" s="8"/>
    </row>
    <row r="2032" spans="6:6" x14ac:dyDescent="0.25">
      <c r="F2032" s="8"/>
    </row>
    <row r="2033" spans="6:6" x14ac:dyDescent="0.25">
      <c r="F2033" s="8"/>
    </row>
    <row r="2034" spans="6:6" x14ac:dyDescent="0.25">
      <c r="F2034" s="8"/>
    </row>
    <row r="2035" spans="6:6" x14ac:dyDescent="0.25">
      <c r="F2035" s="8"/>
    </row>
    <row r="2036" spans="6:6" x14ac:dyDescent="0.25">
      <c r="F2036" s="8"/>
    </row>
    <row r="2037" spans="6:6" x14ac:dyDescent="0.25">
      <c r="F2037" s="8"/>
    </row>
    <row r="2038" spans="6:6" x14ac:dyDescent="0.25">
      <c r="F2038" s="8"/>
    </row>
    <row r="2039" spans="6:6" x14ac:dyDescent="0.25">
      <c r="F2039" s="8"/>
    </row>
    <row r="2040" spans="6:6" x14ac:dyDescent="0.25">
      <c r="F2040" s="8"/>
    </row>
    <row r="2041" spans="6:6" x14ac:dyDescent="0.25">
      <c r="F2041" s="8"/>
    </row>
    <row r="2042" spans="6:6" x14ac:dyDescent="0.25">
      <c r="F2042" s="8"/>
    </row>
    <row r="2043" spans="6:6" x14ac:dyDescent="0.25">
      <c r="F2043" s="8"/>
    </row>
    <row r="2044" spans="6:6" x14ac:dyDescent="0.25">
      <c r="F2044" s="8"/>
    </row>
    <row r="2045" spans="6:6" x14ac:dyDescent="0.25">
      <c r="F2045" s="8"/>
    </row>
    <row r="2046" spans="6:6" x14ac:dyDescent="0.25">
      <c r="F2046" s="8"/>
    </row>
    <row r="2047" spans="6:6" x14ac:dyDescent="0.25">
      <c r="F2047" s="8"/>
    </row>
    <row r="2048" spans="6:6" x14ac:dyDescent="0.25">
      <c r="F2048" s="8"/>
    </row>
    <row r="2049" spans="6:6" x14ac:dyDescent="0.25">
      <c r="F2049" s="8"/>
    </row>
    <row r="2050" spans="6:6" x14ac:dyDescent="0.25">
      <c r="F2050" s="8"/>
    </row>
    <row r="2051" spans="6:6" x14ac:dyDescent="0.25">
      <c r="F2051" s="8"/>
    </row>
    <row r="2052" spans="6:6" x14ac:dyDescent="0.25">
      <c r="F2052" s="8"/>
    </row>
    <row r="2053" spans="6:6" x14ac:dyDescent="0.25">
      <c r="F2053" s="8"/>
    </row>
    <row r="2054" spans="6:6" x14ac:dyDescent="0.25">
      <c r="F2054" s="8"/>
    </row>
    <row r="2055" spans="6:6" x14ac:dyDescent="0.25">
      <c r="F2055" s="8"/>
    </row>
    <row r="2056" spans="6:6" x14ac:dyDescent="0.25">
      <c r="F2056" s="8"/>
    </row>
    <row r="2057" spans="6:6" x14ac:dyDescent="0.25">
      <c r="F2057" s="8"/>
    </row>
    <row r="2058" spans="6:6" x14ac:dyDescent="0.25">
      <c r="F2058" s="8"/>
    </row>
    <row r="2059" spans="6:6" x14ac:dyDescent="0.25">
      <c r="F2059" s="8"/>
    </row>
    <row r="2060" spans="6:6" x14ac:dyDescent="0.25">
      <c r="F2060" s="8"/>
    </row>
    <row r="2061" spans="6:6" x14ac:dyDescent="0.25">
      <c r="F2061" s="8"/>
    </row>
    <row r="2062" spans="6:6" x14ac:dyDescent="0.25">
      <c r="F2062" s="8"/>
    </row>
    <row r="2063" spans="6:6" x14ac:dyDescent="0.25">
      <c r="F2063" s="8"/>
    </row>
    <row r="2064" spans="6:6" x14ac:dyDescent="0.25">
      <c r="F2064" s="8"/>
    </row>
    <row r="2065" spans="6:6" x14ac:dyDescent="0.25">
      <c r="F2065" s="8"/>
    </row>
    <row r="2066" spans="6:6" x14ac:dyDescent="0.25">
      <c r="F2066" s="8"/>
    </row>
    <row r="2067" spans="6:6" x14ac:dyDescent="0.25">
      <c r="F2067" s="8"/>
    </row>
    <row r="2068" spans="6:6" x14ac:dyDescent="0.25">
      <c r="F2068" s="8"/>
    </row>
    <row r="2069" spans="6:6" x14ac:dyDescent="0.25">
      <c r="F2069" s="8"/>
    </row>
    <row r="2070" spans="6:6" x14ac:dyDescent="0.25">
      <c r="F2070" s="8"/>
    </row>
    <row r="2071" spans="6:6" x14ac:dyDescent="0.25">
      <c r="F2071" s="8"/>
    </row>
    <row r="2072" spans="6:6" x14ac:dyDescent="0.25">
      <c r="F2072" s="8"/>
    </row>
    <row r="2073" spans="6:6" x14ac:dyDescent="0.25">
      <c r="F2073" s="8"/>
    </row>
    <row r="2074" spans="6:6" x14ac:dyDescent="0.25">
      <c r="F2074" s="8"/>
    </row>
    <row r="2075" spans="6:6" x14ac:dyDescent="0.25">
      <c r="F2075" s="8"/>
    </row>
    <row r="2076" spans="6:6" x14ac:dyDescent="0.25">
      <c r="F2076" s="8"/>
    </row>
    <row r="2077" spans="6:6" x14ac:dyDescent="0.25">
      <c r="F2077" s="8"/>
    </row>
    <row r="2078" spans="6:6" x14ac:dyDescent="0.25">
      <c r="F2078" s="8"/>
    </row>
    <row r="2079" spans="6:6" x14ac:dyDescent="0.25">
      <c r="F2079" s="8"/>
    </row>
    <row r="2080" spans="6:6" x14ac:dyDescent="0.25">
      <c r="F2080" s="8"/>
    </row>
    <row r="2081" spans="6:6" x14ac:dyDescent="0.25">
      <c r="F2081" s="8"/>
    </row>
    <row r="2082" spans="6:6" x14ac:dyDescent="0.25">
      <c r="F2082" s="8"/>
    </row>
    <row r="2083" spans="6:6" x14ac:dyDescent="0.25">
      <c r="F2083" s="8"/>
    </row>
    <row r="2084" spans="6:6" x14ac:dyDescent="0.25">
      <c r="F2084" s="8"/>
    </row>
    <row r="2085" spans="6:6" x14ac:dyDescent="0.25">
      <c r="F2085" s="8"/>
    </row>
    <row r="2086" spans="6:6" x14ac:dyDescent="0.25">
      <c r="F2086" s="8"/>
    </row>
    <row r="2087" spans="6:6" x14ac:dyDescent="0.25">
      <c r="F2087" s="8"/>
    </row>
    <row r="2088" spans="6:6" x14ac:dyDescent="0.25">
      <c r="F2088" s="8"/>
    </row>
    <row r="2089" spans="6:6" x14ac:dyDescent="0.25">
      <c r="F2089" s="8"/>
    </row>
    <row r="2090" spans="6:6" x14ac:dyDescent="0.25">
      <c r="F2090" s="8"/>
    </row>
    <row r="2091" spans="6:6" x14ac:dyDescent="0.25">
      <c r="F2091" s="8"/>
    </row>
    <row r="2092" spans="6:6" x14ac:dyDescent="0.25">
      <c r="F2092" s="8"/>
    </row>
    <row r="2093" spans="6:6" x14ac:dyDescent="0.25">
      <c r="F2093" s="8"/>
    </row>
    <row r="2094" spans="6:6" x14ac:dyDescent="0.25">
      <c r="F2094" s="8"/>
    </row>
    <row r="2095" spans="6:6" x14ac:dyDescent="0.25">
      <c r="F2095" s="8"/>
    </row>
    <row r="2096" spans="6:6" x14ac:dyDescent="0.25">
      <c r="F2096" s="8"/>
    </row>
    <row r="2097" spans="6:6" x14ac:dyDescent="0.25">
      <c r="F2097" s="8"/>
    </row>
    <row r="2098" spans="6:6" x14ac:dyDescent="0.25">
      <c r="F2098" s="8"/>
    </row>
    <row r="2099" spans="6:6" x14ac:dyDescent="0.25">
      <c r="F2099" s="8"/>
    </row>
    <row r="2100" spans="6:6" x14ac:dyDescent="0.25">
      <c r="F2100" s="8"/>
    </row>
    <row r="2101" spans="6:6" x14ac:dyDescent="0.25">
      <c r="F2101" s="8"/>
    </row>
    <row r="2102" spans="6:6" x14ac:dyDescent="0.25">
      <c r="F2102" s="8"/>
    </row>
    <row r="2103" spans="6:6" x14ac:dyDescent="0.25">
      <c r="F2103" s="8"/>
    </row>
    <row r="2104" spans="6:6" x14ac:dyDescent="0.25">
      <c r="F2104" s="8"/>
    </row>
    <row r="2105" spans="6:6" x14ac:dyDescent="0.25">
      <c r="F2105" s="8"/>
    </row>
    <row r="2106" spans="6:6" x14ac:dyDescent="0.25">
      <c r="F2106" s="8"/>
    </row>
    <row r="2107" spans="6:6" x14ac:dyDescent="0.25">
      <c r="F2107" s="8"/>
    </row>
    <row r="2108" spans="6:6" x14ac:dyDescent="0.25">
      <c r="F2108" s="8"/>
    </row>
    <row r="2109" spans="6:6" x14ac:dyDescent="0.25">
      <c r="F2109" s="8"/>
    </row>
    <row r="2110" spans="6:6" x14ac:dyDescent="0.25">
      <c r="F2110" s="8"/>
    </row>
    <row r="2111" spans="6:6" x14ac:dyDescent="0.25">
      <c r="F2111" s="8"/>
    </row>
    <row r="2112" spans="6:6" x14ac:dyDescent="0.25">
      <c r="F2112" s="8"/>
    </row>
    <row r="2113" spans="6:6" x14ac:dyDescent="0.25">
      <c r="F2113" s="8"/>
    </row>
    <row r="2114" spans="6:6" x14ac:dyDescent="0.25">
      <c r="F2114" s="8"/>
    </row>
    <row r="2115" spans="6:6" x14ac:dyDescent="0.25">
      <c r="F2115" s="8"/>
    </row>
    <row r="2116" spans="6:6" x14ac:dyDescent="0.25">
      <c r="F2116" s="8"/>
    </row>
    <row r="2117" spans="6:6" x14ac:dyDescent="0.25">
      <c r="F2117" s="8"/>
    </row>
    <row r="2118" spans="6:6" x14ac:dyDescent="0.25">
      <c r="F2118" s="8"/>
    </row>
    <row r="2119" spans="6:6" x14ac:dyDescent="0.25">
      <c r="F2119" s="8"/>
    </row>
    <row r="2120" spans="6:6" x14ac:dyDescent="0.25">
      <c r="F2120" s="8"/>
    </row>
    <row r="2121" spans="6:6" x14ac:dyDescent="0.25">
      <c r="F2121" s="8"/>
    </row>
    <row r="2122" spans="6:6" x14ac:dyDescent="0.25">
      <c r="F2122" s="8"/>
    </row>
    <row r="2123" spans="6:6" x14ac:dyDescent="0.25">
      <c r="F2123" s="8"/>
    </row>
    <row r="2124" spans="6:6" x14ac:dyDescent="0.25">
      <c r="F2124" s="8"/>
    </row>
    <row r="2125" spans="6:6" x14ac:dyDescent="0.25">
      <c r="F2125" s="8"/>
    </row>
    <row r="2126" spans="6:6" x14ac:dyDescent="0.25">
      <c r="F2126" s="8"/>
    </row>
    <row r="2127" spans="6:6" x14ac:dyDescent="0.25">
      <c r="F2127" s="8"/>
    </row>
    <row r="2128" spans="6:6" x14ac:dyDescent="0.25">
      <c r="F2128" s="8"/>
    </row>
    <row r="2129" spans="6:6" x14ac:dyDescent="0.25">
      <c r="F2129" s="8"/>
    </row>
    <row r="2130" spans="6:6" x14ac:dyDescent="0.25">
      <c r="F2130" s="8"/>
    </row>
    <row r="2131" spans="6:6" x14ac:dyDescent="0.25">
      <c r="F2131" s="8"/>
    </row>
    <row r="2132" spans="6:6" x14ac:dyDescent="0.25">
      <c r="F2132" s="8"/>
    </row>
    <row r="2133" spans="6:6" x14ac:dyDescent="0.25">
      <c r="F2133" s="8"/>
    </row>
    <row r="2134" spans="6:6" x14ac:dyDescent="0.25">
      <c r="F2134" s="8"/>
    </row>
    <row r="2135" spans="6:6" x14ac:dyDescent="0.25">
      <c r="F2135" s="8"/>
    </row>
    <row r="2136" spans="6:6" x14ac:dyDescent="0.25">
      <c r="F2136" s="8"/>
    </row>
    <row r="2137" spans="6:6" x14ac:dyDescent="0.25">
      <c r="F2137" s="8"/>
    </row>
    <row r="2138" spans="6:6" x14ac:dyDescent="0.25">
      <c r="F2138" s="8"/>
    </row>
    <row r="2139" spans="6:6" x14ac:dyDescent="0.25">
      <c r="F2139" s="8"/>
    </row>
    <row r="2140" spans="6:6" x14ac:dyDescent="0.25">
      <c r="F2140" s="8"/>
    </row>
    <row r="2141" spans="6:6" x14ac:dyDescent="0.25">
      <c r="F2141" s="8"/>
    </row>
    <row r="2142" spans="6:6" x14ac:dyDescent="0.25">
      <c r="F2142" s="8"/>
    </row>
    <row r="2143" spans="6:6" x14ac:dyDescent="0.25">
      <c r="F2143" s="8"/>
    </row>
    <row r="2144" spans="6:6" x14ac:dyDescent="0.25">
      <c r="F2144" s="8"/>
    </row>
    <row r="2145" spans="6:6" x14ac:dyDescent="0.25">
      <c r="F2145" s="8"/>
    </row>
    <row r="2146" spans="6:6" x14ac:dyDescent="0.25">
      <c r="F2146" s="8"/>
    </row>
    <row r="2147" spans="6:6" x14ac:dyDescent="0.25">
      <c r="F2147" s="8"/>
    </row>
    <row r="2148" spans="6:6" x14ac:dyDescent="0.25">
      <c r="F2148" s="8"/>
    </row>
    <row r="2149" spans="6:6" x14ac:dyDescent="0.25">
      <c r="F2149" s="8"/>
    </row>
    <row r="2150" spans="6:6" x14ac:dyDescent="0.25">
      <c r="F2150" s="8"/>
    </row>
    <row r="2151" spans="6:6" x14ac:dyDescent="0.25">
      <c r="F2151" s="8"/>
    </row>
    <row r="2152" spans="6:6" x14ac:dyDescent="0.25">
      <c r="F2152" s="8"/>
    </row>
    <row r="2153" spans="6:6" x14ac:dyDescent="0.25">
      <c r="F2153" s="8"/>
    </row>
    <row r="2154" spans="6:6" x14ac:dyDescent="0.25">
      <c r="F2154" s="8"/>
    </row>
    <row r="2155" spans="6:6" x14ac:dyDescent="0.25">
      <c r="F2155" s="8"/>
    </row>
    <row r="2156" spans="6:6" x14ac:dyDescent="0.25">
      <c r="F2156" s="8"/>
    </row>
    <row r="2157" spans="6:6" x14ac:dyDescent="0.25">
      <c r="F2157" s="8"/>
    </row>
    <row r="2158" spans="6:6" x14ac:dyDescent="0.25">
      <c r="F2158" s="8"/>
    </row>
    <row r="2159" spans="6:6" x14ac:dyDescent="0.25">
      <c r="F2159" s="8"/>
    </row>
    <row r="2160" spans="6:6" x14ac:dyDescent="0.25">
      <c r="F2160" s="8"/>
    </row>
    <row r="2161" spans="6:6" x14ac:dyDescent="0.25">
      <c r="F2161" s="8"/>
    </row>
    <row r="2162" spans="6:6" x14ac:dyDescent="0.25">
      <c r="F2162" s="8"/>
    </row>
    <row r="2163" spans="6:6" x14ac:dyDescent="0.25">
      <c r="F2163" s="8"/>
    </row>
    <row r="2164" spans="6:6" x14ac:dyDescent="0.25">
      <c r="F2164" s="8"/>
    </row>
    <row r="2165" spans="6:6" x14ac:dyDescent="0.25">
      <c r="F2165" s="8"/>
    </row>
    <row r="2166" spans="6:6" x14ac:dyDescent="0.25">
      <c r="F2166" s="8"/>
    </row>
    <row r="2167" spans="6:6" x14ac:dyDescent="0.25">
      <c r="F2167" s="8"/>
    </row>
    <row r="2168" spans="6:6" x14ac:dyDescent="0.25">
      <c r="F2168" s="8"/>
    </row>
    <row r="2169" spans="6:6" x14ac:dyDescent="0.25">
      <c r="F2169" s="8"/>
    </row>
    <row r="2170" spans="6:6" x14ac:dyDescent="0.25">
      <c r="F2170" s="8"/>
    </row>
    <row r="2171" spans="6:6" x14ac:dyDescent="0.25">
      <c r="F2171" s="8"/>
    </row>
    <row r="2172" spans="6:6" x14ac:dyDescent="0.25">
      <c r="F2172" s="8"/>
    </row>
    <row r="2173" spans="6:6" x14ac:dyDescent="0.25">
      <c r="F2173" s="8"/>
    </row>
    <row r="2174" spans="6:6" x14ac:dyDescent="0.25">
      <c r="F2174" s="8"/>
    </row>
    <row r="2175" spans="6:6" x14ac:dyDescent="0.25">
      <c r="F2175" s="8"/>
    </row>
    <row r="2176" spans="6:6" x14ac:dyDescent="0.25">
      <c r="F2176" s="8"/>
    </row>
    <row r="2177" spans="6:6" x14ac:dyDescent="0.25">
      <c r="F2177" s="8"/>
    </row>
    <row r="2178" spans="6:6" x14ac:dyDescent="0.25">
      <c r="F2178" s="8"/>
    </row>
    <row r="2179" spans="6:6" x14ac:dyDescent="0.25">
      <c r="F2179" s="8"/>
    </row>
    <row r="2180" spans="6:6" x14ac:dyDescent="0.25">
      <c r="F2180" s="8"/>
    </row>
    <row r="2181" spans="6:6" x14ac:dyDescent="0.25">
      <c r="F2181" s="8"/>
    </row>
    <row r="2182" spans="6:6" x14ac:dyDescent="0.25">
      <c r="F2182" s="8"/>
    </row>
    <row r="2183" spans="6:6" x14ac:dyDescent="0.25">
      <c r="F2183" s="8"/>
    </row>
    <row r="2184" spans="6:6" x14ac:dyDescent="0.25">
      <c r="F2184" s="8"/>
    </row>
    <row r="2185" spans="6:6" x14ac:dyDescent="0.25">
      <c r="F2185" s="8"/>
    </row>
    <row r="2186" spans="6:6" x14ac:dyDescent="0.25">
      <c r="F2186" s="8"/>
    </row>
    <row r="2187" spans="6:6" x14ac:dyDescent="0.25">
      <c r="F2187" s="8"/>
    </row>
    <row r="2188" spans="6:6" x14ac:dyDescent="0.25">
      <c r="F2188" s="8"/>
    </row>
    <row r="2189" spans="6:6" x14ac:dyDescent="0.25">
      <c r="F2189" s="8"/>
    </row>
    <row r="2190" spans="6:6" x14ac:dyDescent="0.25">
      <c r="F2190" s="8"/>
    </row>
    <row r="2191" spans="6:6" x14ac:dyDescent="0.25">
      <c r="F2191" s="8"/>
    </row>
    <row r="2192" spans="6:6" x14ac:dyDescent="0.25">
      <c r="F2192" s="8"/>
    </row>
    <row r="2193" spans="6:6" x14ac:dyDescent="0.25">
      <c r="F2193" s="8"/>
    </row>
    <row r="2194" spans="6:6" x14ac:dyDescent="0.25">
      <c r="F2194" s="8"/>
    </row>
    <row r="2195" spans="6:6" x14ac:dyDescent="0.25">
      <c r="F2195" s="8"/>
    </row>
    <row r="2196" spans="6:6" x14ac:dyDescent="0.25">
      <c r="F2196" s="8"/>
    </row>
    <row r="2197" spans="6:6" x14ac:dyDescent="0.25">
      <c r="F2197" s="8"/>
    </row>
    <row r="2198" spans="6:6" x14ac:dyDescent="0.25">
      <c r="F2198" s="8"/>
    </row>
    <row r="2199" spans="6:6" x14ac:dyDescent="0.25">
      <c r="F2199" s="8"/>
    </row>
    <row r="2200" spans="6:6" x14ac:dyDescent="0.25">
      <c r="F2200" s="8"/>
    </row>
    <row r="2201" spans="6:6" x14ac:dyDescent="0.25">
      <c r="F2201" s="8"/>
    </row>
    <row r="2202" spans="6:6" x14ac:dyDescent="0.25">
      <c r="F2202" s="8"/>
    </row>
    <row r="2203" spans="6:6" x14ac:dyDescent="0.25">
      <c r="F2203" s="8"/>
    </row>
    <row r="2204" spans="6:6" x14ac:dyDescent="0.25">
      <c r="F2204" s="8"/>
    </row>
    <row r="2205" spans="6:6" x14ac:dyDescent="0.25">
      <c r="F2205" s="8"/>
    </row>
    <row r="2206" spans="6:6" x14ac:dyDescent="0.25">
      <c r="F2206" s="8"/>
    </row>
    <row r="2207" spans="6:6" x14ac:dyDescent="0.25">
      <c r="F2207" s="8"/>
    </row>
    <row r="2208" spans="6:6" x14ac:dyDescent="0.25">
      <c r="F2208" s="8"/>
    </row>
    <row r="2209" spans="6:6" x14ac:dyDescent="0.25">
      <c r="F2209" s="8"/>
    </row>
    <row r="2210" spans="6:6" x14ac:dyDescent="0.25">
      <c r="F2210" s="8"/>
    </row>
    <row r="2211" spans="6:6" x14ac:dyDescent="0.25">
      <c r="F2211" s="8"/>
    </row>
    <row r="2212" spans="6:6" x14ac:dyDescent="0.25">
      <c r="F2212" s="8"/>
    </row>
    <row r="2213" spans="6:6" x14ac:dyDescent="0.25">
      <c r="F2213" s="8"/>
    </row>
    <row r="2214" spans="6:6" x14ac:dyDescent="0.25">
      <c r="F2214" s="8"/>
    </row>
    <row r="2215" spans="6:6" x14ac:dyDescent="0.25">
      <c r="F2215" s="8"/>
    </row>
    <row r="2216" spans="6:6" x14ac:dyDescent="0.25">
      <c r="F2216" s="8"/>
    </row>
    <row r="2217" spans="6:6" x14ac:dyDescent="0.25">
      <c r="F2217" s="8"/>
    </row>
    <row r="2218" spans="6:6" x14ac:dyDescent="0.25">
      <c r="F2218" s="8"/>
    </row>
    <row r="2219" spans="6:6" x14ac:dyDescent="0.25">
      <c r="F2219" s="8"/>
    </row>
    <row r="2220" spans="6:6" x14ac:dyDescent="0.25">
      <c r="F2220" s="8"/>
    </row>
    <row r="2221" spans="6:6" x14ac:dyDescent="0.25">
      <c r="F2221" s="8"/>
    </row>
    <row r="2222" spans="6:6" x14ac:dyDescent="0.25">
      <c r="F2222" s="8"/>
    </row>
    <row r="2223" spans="6:6" x14ac:dyDescent="0.25">
      <c r="F2223" s="8"/>
    </row>
    <row r="2224" spans="6:6" x14ac:dyDescent="0.25">
      <c r="F2224" s="8"/>
    </row>
    <row r="2225" spans="6:6" x14ac:dyDescent="0.25">
      <c r="F2225" s="8"/>
    </row>
    <row r="2226" spans="6:6" x14ac:dyDescent="0.25">
      <c r="F2226" s="8"/>
    </row>
    <row r="2227" spans="6:6" x14ac:dyDescent="0.25">
      <c r="F2227" s="8"/>
    </row>
    <row r="2228" spans="6:6" x14ac:dyDescent="0.25">
      <c r="F2228" s="8"/>
    </row>
    <row r="2229" spans="6:6" x14ac:dyDescent="0.25">
      <c r="F2229" s="8"/>
    </row>
    <row r="2230" spans="6:6" x14ac:dyDescent="0.25">
      <c r="F2230" s="8"/>
    </row>
    <row r="2231" spans="6:6" x14ac:dyDescent="0.25">
      <c r="F2231" s="8"/>
    </row>
    <row r="2232" spans="6:6" x14ac:dyDescent="0.25">
      <c r="F2232" s="8"/>
    </row>
    <row r="2233" spans="6:6" x14ac:dyDescent="0.25">
      <c r="F2233" s="8"/>
    </row>
    <row r="2234" spans="6:6" x14ac:dyDescent="0.25">
      <c r="F2234" s="8"/>
    </row>
    <row r="2235" spans="6:6" x14ac:dyDescent="0.25">
      <c r="F2235" s="8"/>
    </row>
    <row r="2236" spans="6:6" x14ac:dyDescent="0.25">
      <c r="F2236" s="8"/>
    </row>
    <row r="2237" spans="6:6" x14ac:dyDescent="0.25">
      <c r="F2237" s="8"/>
    </row>
    <row r="2238" spans="6:6" x14ac:dyDescent="0.25">
      <c r="F2238" s="8"/>
    </row>
    <row r="2239" spans="6:6" x14ac:dyDescent="0.25">
      <c r="F2239" s="8"/>
    </row>
    <row r="2240" spans="6:6" x14ac:dyDescent="0.25">
      <c r="F2240" s="8"/>
    </row>
    <row r="2241" spans="6:6" x14ac:dyDescent="0.25">
      <c r="F2241" s="8"/>
    </row>
    <row r="2242" spans="6:6" x14ac:dyDescent="0.25">
      <c r="F2242" s="8"/>
    </row>
    <row r="2243" spans="6:6" x14ac:dyDescent="0.25">
      <c r="F2243" s="8"/>
    </row>
    <row r="2244" spans="6:6" x14ac:dyDescent="0.25">
      <c r="F2244" s="8"/>
    </row>
    <row r="2245" spans="6:6" x14ac:dyDescent="0.25">
      <c r="F2245" s="8"/>
    </row>
    <row r="2246" spans="6:6" x14ac:dyDescent="0.25">
      <c r="F2246" s="8"/>
    </row>
    <row r="2247" spans="6:6" x14ac:dyDescent="0.25">
      <c r="F2247" s="8"/>
    </row>
    <row r="2248" spans="6:6" x14ac:dyDescent="0.25">
      <c r="F2248" s="8"/>
    </row>
    <row r="2249" spans="6:6" x14ac:dyDescent="0.25">
      <c r="F2249" s="8"/>
    </row>
    <row r="2250" spans="6:6" x14ac:dyDescent="0.25">
      <c r="F2250" s="8"/>
    </row>
    <row r="2251" spans="6:6" x14ac:dyDescent="0.25">
      <c r="F2251" s="8"/>
    </row>
    <row r="2252" spans="6:6" x14ac:dyDescent="0.25">
      <c r="F2252" s="8"/>
    </row>
    <row r="2253" spans="6:6" x14ac:dyDescent="0.25">
      <c r="F2253" s="8"/>
    </row>
    <row r="2254" spans="6:6" x14ac:dyDescent="0.25">
      <c r="F2254" s="8"/>
    </row>
    <row r="2255" spans="6:6" x14ac:dyDescent="0.25">
      <c r="F2255" s="8"/>
    </row>
    <row r="2256" spans="6:6" x14ac:dyDescent="0.25">
      <c r="F2256" s="8"/>
    </row>
    <row r="2257" spans="6:6" x14ac:dyDescent="0.25">
      <c r="F2257" s="8"/>
    </row>
    <row r="2258" spans="6:6" x14ac:dyDescent="0.25">
      <c r="F2258" s="8"/>
    </row>
    <row r="2259" spans="6:6" x14ac:dyDescent="0.25">
      <c r="F2259" s="8"/>
    </row>
    <row r="2260" spans="6:6" x14ac:dyDescent="0.25">
      <c r="F2260" s="8"/>
    </row>
    <row r="2261" spans="6:6" x14ac:dyDescent="0.25">
      <c r="F2261" s="8"/>
    </row>
    <row r="2262" spans="6:6" x14ac:dyDescent="0.25">
      <c r="F2262" s="8"/>
    </row>
    <row r="2263" spans="6:6" x14ac:dyDescent="0.25">
      <c r="F2263" s="8"/>
    </row>
    <row r="2264" spans="6:6" x14ac:dyDescent="0.25">
      <c r="F2264" s="8"/>
    </row>
    <row r="2265" spans="6:6" x14ac:dyDescent="0.25">
      <c r="F2265" s="8"/>
    </row>
    <row r="2266" spans="6:6" x14ac:dyDescent="0.25">
      <c r="F2266" s="8"/>
    </row>
    <row r="2267" spans="6:6" x14ac:dyDescent="0.25">
      <c r="F2267" s="8"/>
    </row>
    <row r="2268" spans="6:6" x14ac:dyDescent="0.25">
      <c r="F2268" s="8"/>
    </row>
    <row r="2269" spans="6:6" x14ac:dyDescent="0.25">
      <c r="F2269" s="8"/>
    </row>
    <row r="2270" spans="6:6" x14ac:dyDescent="0.25">
      <c r="F2270" s="8"/>
    </row>
    <row r="2271" spans="6:6" x14ac:dyDescent="0.25">
      <c r="F2271" s="8"/>
    </row>
    <row r="2272" spans="6:6" x14ac:dyDescent="0.25">
      <c r="F2272" s="8"/>
    </row>
    <row r="2273" spans="6:6" x14ac:dyDescent="0.25">
      <c r="F2273" s="8"/>
    </row>
    <row r="2274" spans="6:6" x14ac:dyDescent="0.25">
      <c r="F2274" s="8"/>
    </row>
    <row r="2275" spans="6:6" x14ac:dyDescent="0.25">
      <c r="F2275" s="8"/>
    </row>
    <row r="2276" spans="6:6" x14ac:dyDescent="0.25">
      <c r="F2276" s="8"/>
    </row>
    <row r="2277" spans="6:6" x14ac:dyDescent="0.25">
      <c r="F2277" s="8"/>
    </row>
    <row r="2278" spans="6:6" x14ac:dyDescent="0.25">
      <c r="F2278" s="8"/>
    </row>
    <row r="2279" spans="6:6" x14ac:dyDescent="0.25">
      <c r="F2279" s="8"/>
    </row>
    <row r="2280" spans="6:6" x14ac:dyDescent="0.25">
      <c r="F2280" s="8"/>
    </row>
    <row r="2281" spans="6:6" x14ac:dyDescent="0.25">
      <c r="F2281" s="8"/>
    </row>
    <row r="2282" spans="6:6" x14ac:dyDescent="0.25">
      <c r="F2282" s="8"/>
    </row>
    <row r="2283" spans="6:6" x14ac:dyDescent="0.25">
      <c r="F2283" s="8"/>
    </row>
    <row r="2284" spans="6:6" x14ac:dyDescent="0.25">
      <c r="F2284" s="8"/>
    </row>
    <row r="2285" spans="6:6" x14ac:dyDescent="0.25">
      <c r="F2285" s="8"/>
    </row>
    <row r="2286" spans="6:6" x14ac:dyDescent="0.25">
      <c r="F2286" s="8"/>
    </row>
    <row r="2287" spans="6:6" x14ac:dyDescent="0.25">
      <c r="F2287" s="8"/>
    </row>
    <row r="2288" spans="6:6" x14ac:dyDescent="0.25">
      <c r="F2288" s="8"/>
    </row>
    <row r="2289" spans="6:6" x14ac:dyDescent="0.25">
      <c r="F2289" s="8"/>
    </row>
    <row r="2290" spans="6:6" x14ac:dyDescent="0.25">
      <c r="F2290" s="8"/>
    </row>
    <row r="2291" spans="6:6" x14ac:dyDescent="0.25">
      <c r="F2291" s="8"/>
    </row>
    <row r="2292" spans="6:6" x14ac:dyDescent="0.25">
      <c r="F2292" s="8"/>
    </row>
    <row r="2293" spans="6:6" x14ac:dyDescent="0.25">
      <c r="F2293" s="8"/>
    </row>
    <row r="2294" spans="6:6" x14ac:dyDescent="0.25">
      <c r="F2294" s="8"/>
    </row>
    <row r="2295" spans="6:6" x14ac:dyDescent="0.25">
      <c r="F2295" s="8"/>
    </row>
    <row r="2296" spans="6:6" x14ac:dyDescent="0.25">
      <c r="F2296" s="8"/>
    </row>
    <row r="2297" spans="6:6" x14ac:dyDescent="0.25">
      <c r="F2297" s="8"/>
    </row>
    <row r="2298" spans="6:6" x14ac:dyDescent="0.25">
      <c r="F2298" s="8"/>
    </row>
    <row r="2299" spans="6:6" x14ac:dyDescent="0.25">
      <c r="F2299" s="8"/>
    </row>
    <row r="2300" spans="6:6" x14ac:dyDescent="0.25">
      <c r="F2300" s="8"/>
    </row>
    <row r="2301" spans="6:6" x14ac:dyDescent="0.25">
      <c r="F2301" s="8"/>
    </row>
    <row r="2302" spans="6:6" x14ac:dyDescent="0.25">
      <c r="F2302" s="8"/>
    </row>
    <row r="2303" spans="6:6" x14ac:dyDescent="0.25">
      <c r="F2303" s="8"/>
    </row>
    <row r="2304" spans="6:6" x14ac:dyDescent="0.25">
      <c r="F2304" s="8"/>
    </row>
    <row r="2305" spans="6:6" x14ac:dyDescent="0.25">
      <c r="F2305" s="8"/>
    </row>
    <row r="2306" spans="6:6" x14ac:dyDescent="0.25">
      <c r="F2306" s="8"/>
    </row>
    <row r="2307" spans="6:6" x14ac:dyDescent="0.25">
      <c r="F2307" s="8"/>
    </row>
    <row r="2308" spans="6:6" x14ac:dyDescent="0.25">
      <c r="F2308" s="8"/>
    </row>
    <row r="2309" spans="6:6" x14ac:dyDescent="0.25">
      <c r="F2309" s="8"/>
    </row>
    <row r="2310" spans="6:6" x14ac:dyDescent="0.25">
      <c r="F2310" s="8"/>
    </row>
    <row r="2311" spans="6:6" x14ac:dyDescent="0.25">
      <c r="F2311" s="8"/>
    </row>
    <row r="2312" spans="6:6" x14ac:dyDescent="0.25">
      <c r="F2312" s="8"/>
    </row>
    <row r="2313" spans="6:6" x14ac:dyDescent="0.25">
      <c r="F2313" s="8"/>
    </row>
    <row r="2314" spans="6:6" x14ac:dyDescent="0.25">
      <c r="F2314" s="8"/>
    </row>
    <row r="2315" spans="6:6" x14ac:dyDescent="0.25">
      <c r="F2315" s="8"/>
    </row>
    <row r="2316" spans="6:6" x14ac:dyDescent="0.25">
      <c r="F2316" s="8"/>
    </row>
    <row r="2317" spans="6:6" x14ac:dyDescent="0.25">
      <c r="F2317" s="8"/>
    </row>
    <row r="2318" spans="6:6" x14ac:dyDescent="0.25">
      <c r="F2318" s="8"/>
    </row>
    <row r="2319" spans="6:6" x14ac:dyDescent="0.25">
      <c r="F2319" s="8"/>
    </row>
    <row r="2320" spans="6:6" x14ac:dyDescent="0.25">
      <c r="F2320" s="8"/>
    </row>
    <row r="2321" spans="6:6" x14ac:dyDescent="0.25">
      <c r="F2321" s="8"/>
    </row>
    <row r="2322" spans="6:6" x14ac:dyDescent="0.25">
      <c r="F2322" s="8"/>
    </row>
    <row r="2323" spans="6:6" x14ac:dyDescent="0.25">
      <c r="F2323" s="8"/>
    </row>
    <row r="2324" spans="6:6" x14ac:dyDescent="0.25">
      <c r="F2324" s="8"/>
    </row>
    <row r="2325" spans="6:6" x14ac:dyDescent="0.25">
      <c r="F2325" s="8"/>
    </row>
    <row r="2326" spans="6:6" x14ac:dyDescent="0.25">
      <c r="F2326" s="8"/>
    </row>
    <row r="2327" spans="6:6" x14ac:dyDescent="0.25">
      <c r="F2327" s="8"/>
    </row>
    <row r="2328" spans="6:6" x14ac:dyDescent="0.25">
      <c r="F2328" s="8"/>
    </row>
    <row r="2329" spans="6:6" x14ac:dyDescent="0.25">
      <c r="F2329" s="8"/>
    </row>
    <row r="2330" spans="6:6" x14ac:dyDescent="0.25">
      <c r="F2330" s="8"/>
    </row>
    <row r="2331" spans="6:6" x14ac:dyDescent="0.25">
      <c r="F2331" s="8"/>
    </row>
    <row r="2332" spans="6:6" x14ac:dyDescent="0.25">
      <c r="F2332" s="8"/>
    </row>
    <row r="2333" spans="6:6" x14ac:dyDescent="0.25">
      <c r="F2333" s="8"/>
    </row>
    <row r="2334" spans="6:6" x14ac:dyDescent="0.25">
      <c r="F2334" s="8"/>
    </row>
    <row r="2335" spans="6:6" x14ac:dyDescent="0.25">
      <c r="F2335" s="8"/>
    </row>
    <row r="2336" spans="6:6" x14ac:dyDescent="0.25">
      <c r="F2336" s="8"/>
    </row>
    <row r="2337" spans="6:6" x14ac:dyDescent="0.25">
      <c r="F2337" s="8"/>
    </row>
    <row r="2338" spans="6:6" x14ac:dyDescent="0.25">
      <c r="F2338" s="8"/>
    </row>
    <row r="2339" spans="6:6" x14ac:dyDescent="0.25">
      <c r="F2339" s="8"/>
    </row>
    <row r="2340" spans="6:6" x14ac:dyDescent="0.25">
      <c r="F2340" s="8"/>
    </row>
    <row r="2341" spans="6:6" x14ac:dyDescent="0.25">
      <c r="F2341" s="8"/>
    </row>
    <row r="2342" spans="6:6" x14ac:dyDescent="0.25">
      <c r="F2342" s="8"/>
    </row>
    <row r="2343" spans="6:6" x14ac:dyDescent="0.25">
      <c r="F2343" s="8"/>
    </row>
    <row r="2344" spans="6:6" x14ac:dyDescent="0.25">
      <c r="F2344" s="8"/>
    </row>
    <row r="2345" spans="6:6" x14ac:dyDescent="0.25">
      <c r="F2345" s="8"/>
    </row>
    <row r="2346" spans="6:6" x14ac:dyDescent="0.25">
      <c r="F2346" s="8"/>
    </row>
    <row r="2347" spans="6:6" x14ac:dyDescent="0.25">
      <c r="F2347" s="8"/>
    </row>
    <row r="2348" spans="6:6" x14ac:dyDescent="0.25">
      <c r="F2348" s="8"/>
    </row>
    <row r="2349" spans="6:6" x14ac:dyDescent="0.25">
      <c r="F2349" s="8"/>
    </row>
    <row r="2350" spans="6:6" x14ac:dyDescent="0.25">
      <c r="F2350" s="8"/>
    </row>
    <row r="2351" spans="6:6" x14ac:dyDescent="0.25">
      <c r="F2351" s="8"/>
    </row>
    <row r="2352" spans="6:6" x14ac:dyDescent="0.25">
      <c r="F2352" s="8"/>
    </row>
    <row r="2353" spans="6:6" x14ac:dyDescent="0.25">
      <c r="F2353" s="8"/>
    </row>
    <row r="2354" spans="6:6" x14ac:dyDescent="0.25">
      <c r="F2354" s="8"/>
    </row>
    <row r="2355" spans="6:6" x14ac:dyDescent="0.25">
      <c r="F2355" s="8"/>
    </row>
    <row r="2356" spans="6:6" x14ac:dyDescent="0.25">
      <c r="F2356" s="8"/>
    </row>
    <row r="2357" spans="6:6" x14ac:dyDescent="0.25">
      <c r="F2357" s="8"/>
    </row>
    <row r="2358" spans="6:6" x14ac:dyDescent="0.25">
      <c r="F2358" s="8"/>
    </row>
    <row r="2359" spans="6:6" x14ac:dyDescent="0.25">
      <c r="F2359" s="8"/>
    </row>
    <row r="2360" spans="6:6" x14ac:dyDescent="0.25">
      <c r="F2360" s="8"/>
    </row>
    <row r="2361" spans="6:6" x14ac:dyDescent="0.25">
      <c r="F2361" s="8"/>
    </row>
    <row r="2362" spans="6:6" x14ac:dyDescent="0.25">
      <c r="F2362" s="8"/>
    </row>
    <row r="2363" spans="6:6" x14ac:dyDescent="0.25">
      <c r="F2363" s="8"/>
    </row>
    <row r="2364" spans="6:6" x14ac:dyDescent="0.25">
      <c r="F2364" s="8"/>
    </row>
    <row r="2365" spans="6:6" x14ac:dyDescent="0.25">
      <c r="F2365" s="8"/>
    </row>
    <row r="2366" spans="6:6" x14ac:dyDescent="0.25">
      <c r="F2366" s="8"/>
    </row>
    <row r="2367" spans="6:6" x14ac:dyDescent="0.25">
      <c r="F2367" s="8"/>
    </row>
    <row r="2368" spans="6:6" x14ac:dyDescent="0.25">
      <c r="F2368" s="8"/>
    </row>
    <row r="2369" spans="6:6" x14ac:dyDescent="0.25">
      <c r="F2369" s="8"/>
    </row>
    <row r="2370" spans="6:6" x14ac:dyDescent="0.25">
      <c r="F2370" s="8"/>
    </row>
    <row r="2371" spans="6:6" x14ac:dyDescent="0.25">
      <c r="F2371" s="8"/>
    </row>
    <row r="2372" spans="6:6" x14ac:dyDescent="0.25">
      <c r="F2372" s="8"/>
    </row>
    <row r="2373" spans="6:6" x14ac:dyDescent="0.25">
      <c r="F2373" s="8"/>
    </row>
    <row r="2374" spans="6:6" x14ac:dyDescent="0.25">
      <c r="F2374" s="8"/>
    </row>
    <row r="2375" spans="6:6" x14ac:dyDescent="0.25">
      <c r="F2375" s="8"/>
    </row>
    <row r="2376" spans="6:6" x14ac:dyDescent="0.25">
      <c r="F2376" s="8"/>
    </row>
    <row r="2377" spans="6:6" x14ac:dyDescent="0.25">
      <c r="F2377" s="8"/>
    </row>
    <row r="2378" spans="6:6" x14ac:dyDescent="0.25">
      <c r="F2378" s="8"/>
    </row>
    <row r="2379" spans="6:6" x14ac:dyDescent="0.25">
      <c r="F2379" s="8"/>
    </row>
    <row r="2380" spans="6:6" x14ac:dyDescent="0.25">
      <c r="F2380" s="8"/>
    </row>
    <row r="2381" spans="6:6" x14ac:dyDescent="0.25">
      <c r="F2381" s="8"/>
    </row>
    <row r="2382" spans="6:6" x14ac:dyDescent="0.25">
      <c r="F2382" s="8"/>
    </row>
    <row r="2383" spans="6:6" x14ac:dyDescent="0.25">
      <c r="F2383" s="8"/>
    </row>
    <row r="2384" spans="6:6" x14ac:dyDescent="0.25">
      <c r="F2384" s="8"/>
    </row>
    <row r="2385" spans="6:6" x14ac:dyDescent="0.25">
      <c r="F2385" s="8"/>
    </row>
    <row r="2386" spans="6:6" x14ac:dyDescent="0.25">
      <c r="F2386" s="8"/>
    </row>
    <row r="2387" spans="6:6" x14ac:dyDescent="0.25">
      <c r="F2387" s="8"/>
    </row>
    <row r="2388" spans="6:6" x14ac:dyDescent="0.25">
      <c r="F2388" s="8"/>
    </row>
    <row r="2389" spans="6:6" x14ac:dyDescent="0.25">
      <c r="F2389" s="8"/>
    </row>
    <row r="2390" spans="6:6" x14ac:dyDescent="0.25">
      <c r="F2390" s="8"/>
    </row>
    <row r="2391" spans="6:6" x14ac:dyDescent="0.25">
      <c r="F2391" s="8"/>
    </row>
    <row r="2392" spans="6:6" x14ac:dyDescent="0.25">
      <c r="F2392" s="8"/>
    </row>
    <row r="2393" spans="6:6" x14ac:dyDescent="0.25">
      <c r="F2393" s="8"/>
    </row>
    <row r="2394" spans="6:6" x14ac:dyDescent="0.25">
      <c r="F2394" s="8"/>
    </row>
    <row r="2395" spans="6:6" x14ac:dyDescent="0.25">
      <c r="F2395" s="8"/>
    </row>
    <row r="2396" spans="6:6" x14ac:dyDescent="0.25">
      <c r="F2396" s="8"/>
    </row>
    <row r="2397" spans="6:6" x14ac:dyDescent="0.25">
      <c r="F2397" s="8"/>
    </row>
    <row r="2398" spans="6:6" x14ac:dyDescent="0.25">
      <c r="F2398" s="8"/>
    </row>
    <row r="2399" spans="6:6" x14ac:dyDescent="0.25">
      <c r="F2399" s="8"/>
    </row>
    <row r="2400" spans="6:6" x14ac:dyDescent="0.25">
      <c r="F2400" s="8"/>
    </row>
    <row r="2401" spans="6:6" x14ac:dyDescent="0.25">
      <c r="F2401" s="8"/>
    </row>
    <row r="2402" spans="6:6" x14ac:dyDescent="0.25">
      <c r="F2402" s="8"/>
    </row>
    <row r="2403" spans="6:6" x14ac:dyDescent="0.25">
      <c r="F2403" s="8"/>
    </row>
    <row r="2404" spans="6:6" x14ac:dyDescent="0.25">
      <c r="F2404" s="8"/>
    </row>
    <row r="2405" spans="6:6" x14ac:dyDescent="0.25">
      <c r="F2405" s="8"/>
    </row>
    <row r="2406" spans="6:6" x14ac:dyDescent="0.25">
      <c r="F2406" s="8"/>
    </row>
    <row r="2407" spans="6:6" x14ac:dyDescent="0.25">
      <c r="F2407" s="8"/>
    </row>
    <row r="2408" spans="6:6" x14ac:dyDescent="0.25">
      <c r="F2408" s="8"/>
    </row>
    <row r="2409" spans="6:6" x14ac:dyDescent="0.25">
      <c r="F2409" s="8"/>
    </row>
    <row r="2410" spans="6:6" x14ac:dyDescent="0.25">
      <c r="F2410" s="8"/>
    </row>
    <row r="2411" spans="6:6" x14ac:dyDescent="0.25">
      <c r="F2411" s="8"/>
    </row>
    <row r="2412" spans="6:6" x14ac:dyDescent="0.25">
      <c r="F2412" s="8"/>
    </row>
    <row r="2413" spans="6:6" x14ac:dyDescent="0.25">
      <c r="F2413" s="8"/>
    </row>
    <row r="2414" spans="6:6" x14ac:dyDescent="0.25">
      <c r="F2414" s="8"/>
    </row>
    <row r="2415" spans="6:6" x14ac:dyDescent="0.25">
      <c r="F2415" s="8"/>
    </row>
    <row r="2416" spans="6:6" x14ac:dyDescent="0.25">
      <c r="F2416" s="8"/>
    </row>
    <row r="2417" spans="6:6" x14ac:dyDescent="0.25">
      <c r="F2417" s="8"/>
    </row>
    <row r="2418" spans="6:6" x14ac:dyDescent="0.25">
      <c r="F2418" s="8"/>
    </row>
    <row r="2419" spans="6:6" x14ac:dyDescent="0.25">
      <c r="F2419" s="8"/>
    </row>
    <row r="2420" spans="6:6" x14ac:dyDescent="0.25">
      <c r="F2420" s="8"/>
    </row>
    <row r="2421" spans="6:6" x14ac:dyDescent="0.25">
      <c r="F2421" s="8"/>
    </row>
    <row r="2422" spans="6:6" x14ac:dyDescent="0.25">
      <c r="F2422" s="8"/>
    </row>
    <row r="2423" spans="6:6" x14ac:dyDescent="0.25">
      <c r="F2423" s="8"/>
    </row>
    <row r="2424" spans="6:6" x14ac:dyDescent="0.25">
      <c r="F2424" s="8"/>
    </row>
    <row r="2425" spans="6:6" x14ac:dyDescent="0.25">
      <c r="F2425" s="8"/>
    </row>
    <row r="2426" spans="6:6" x14ac:dyDescent="0.25">
      <c r="F2426" s="8"/>
    </row>
    <row r="2427" spans="6:6" x14ac:dyDescent="0.25">
      <c r="F2427" s="8"/>
    </row>
    <row r="2428" spans="6:6" x14ac:dyDescent="0.25">
      <c r="F2428" s="8"/>
    </row>
    <row r="2429" spans="6:6" x14ac:dyDescent="0.25">
      <c r="F2429" s="8"/>
    </row>
    <row r="2430" spans="6:6" x14ac:dyDescent="0.25">
      <c r="F2430" s="8"/>
    </row>
    <row r="2431" spans="6:6" x14ac:dyDescent="0.25">
      <c r="F2431" s="8"/>
    </row>
    <row r="2432" spans="6:6" x14ac:dyDescent="0.25">
      <c r="F2432" s="8"/>
    </row>
    <row r="2433" spans="6:6" x14ac:dyDescent="0.25">
      <c r="F2433" s="8"/>
    </row>
    <row r="2434" spans="6:6" x14ac:dyDescent="0.25">
      <c r="F2434" s="8"/>
    </row>
    <row r="2435" spans="6:6" x14ac:dyDescent="0.25">
      <c r="F2435" s="8"/>
    </row>
    <row r="2436" spans="6:6" x14ac:dyDescent="0.25">
      <c r="F2436" s="8"/>
    </row>
    <row r="2437" spans="6:6" x14ac:dyDescent="0.25">
      <c r="F2437" s="8"/>
    </row>
    <row r="2438" spans="6:6" x14ac:dyDescent="0.25">
      <c r="F2438" s="8"/>
    </row>
    <row r="2439" spans="6:6" x14ac:dyDescent="0.25">
      <c r="F2439" s="8"/>
    </row>
    <row r="2440" spans="6:6" x14ac:dyDescent="0.25">
      <c r="F2440" s="8"/>
    </row>
    <row r="2441" spans="6:6" x14ac:dyDescent="0.25">
      <c r="F2441" s="8"/>
    </row>
    <row r="2442" spans="6:6" x14ac:dyDescent="0.25">
      <c r="F2442" s="8"/>
    </row>
    <row r="2443" spans="6:6" x14ac:dyDescent="0.25">
      <c r="F2443" s="8"/>
    </row>
    <row r="2444" spans="6:6" x14ac:dyDescent="0.25">
      <c r="F2444" s="8"/>
    </row>
    <row r="2445" spans="6:6" x14ac:dyDescent="0.25">
      <c r="F2445" s="8"/>
    </row>
    <row r="2446" spans="6:6" x14ac:dyDescent="0.25">
      <c r="F2446" s="8"/>
    </row>
    <row r="2447" spans="6:6" x14ac:dyDescent="0.25">
      <c r="F2447" s="8"/>
    </row>
    <row r="2448" spans="6:6" x14ac:dyDescent="0.25">
      <c r="F2448" s="8"/>
    </row>
    <row r="2449" spans="6:6" x14ac:dyDescent="0.25">
      <c r="F2449" s="8"/>
    </row>
    <row r="2450" spans="6:6" x14ac:dyDescent="0.25">
      <c r="F2450" s="8"/>
    </row>
    <row r="2451" spans="6:6" x14ac:dyDescent="0.25">
      <c r="F2451" s="8"/>
    </row>
    <row r="2452" spans="6:6" x14ac:dyDescent="0.25">
      <c r="F2452" s="8"/>
    </row>
    <row r="2453" spans="6:6" x14ac:dyDescent="0.25">
      <c r="F2453" s="8"/>
    </row>
    <row r="2454" spans="6:6" x14ac:dyDescent="0.25">
      <c r="F2454" s="8"/>
    </row>
    <row r="2455" spans="6:6" x14ac:dyDescent="0.25">
      <c r="F2455" s="8"/>
    </row>
    <row r="2456" spans="6:6" x14ac:dyDescent="0.25">
      <c r="F2456" s="8"/>
    </row>
    <row r="2457" spans="6:6" x14ac:dyDescent="0.25">
      <c r="F2457" s="8"/>
    </row>
    <row r="2458" spans="6:6" x14ac:dyDescent="0.25">
      <c r="F2458" s="8"/>
    </row>
    <row r="2459" spans="6:6" x14ac:dyDescent="0.25">
      <c r="F2459" s="8"/>
    </row>
    <row r="2460" spans="6:6" x14ac:dyDescent="0.25">
      <c r="F2460" s="8"/>
    </row>
    <row r="2461" spans="6:6" x14ac:dyDescent="0.25">
      <c r="F2461" s="8"/>
    </row>
    <row r="2462" spans="6:6" x14ac:dyDescent="0.25">
      <c r="F2462" s="8"/>
    </row>
    <row r="2476" spans="6:10" x14ac:dyDescent="0.25">
      <c r="F2476" s="8"/>
      <c r="J2476" s="8"/>
    </row>
    <row r="2477" spans="6:10" x14ac:dyDescent="0.25">
      <c r="F2477" s="8"/>
      <c r="J2477" s="8"/>
    </row>
    <row r="2478" spans="6:10" x14ac:dyDescent="0.25">
      <c r="F2478" s="8"/>
      <c r="J2478" s="8"/>
    </row>
    <row r="2479" spans="6:10" x14ac:dyDescent="0.25">
      <c r="F2479" s="8"/>
      <c r="J2479" s="8"/>
    </row>
    <row r="2480" spans="6:10" x14ac:dyDescent="0.25">
      <c r="F2480" s="8"/>
      <c r="J2480" s="8"/>
    </row>
    <row r="2481" spans="6:10" x14ac:dyDescent="0.25">
      <c r="F2481" s="8"/>
      <c r="J2481" s="8"/>
    </row>
    <row r="2482" spans="6:10" x14ac:dyDescent="0.25">
      <c r="F2482" s="8"/>
      <c r="J2482" s="8"/>
    </row>
    <row r="2483" spans="6:10" x14ac:dyDescent="0.25">
      <c r="F2483" s="8"/>
      <c r="J2483" s="8"/>
    </row>
    <row r="2484" spans="6:10" x14ac:dyDescent="0.25">
      <c r="F2484" s="8"/>
      <c r="J2484" s="8"/>
    </row>
    <row r="2485" spans="6:10" x14ac:dyDescent="0.25">
      <c r="F2485" s="8"/>
      <c r="J2485" s="8"/>
    </row>
    <row r="2486" spans="6:10" x14ac:dyDescent="0.25">
      <c r="F2486" s="8"/>
      <c r="J2486" s="8"/>
    </row>
    <row r="2487" spans="6:10" x14ac:dyDescent="0.25">
      <c r="F2487" s="8"/>
      <c r="J2487" s="8"/>
    </row>
    <row r="2488" spans="6:10" x14ac:dyDescent="0.25">
      <c r="F2488" s="8"/>
      <c r="J2488" s="8"/>
    </row>
    <row r="2489" spans="6:10" x14ac:dyDescent="0.25">
      <c r="F2489" s="8"/>
      <c r="J2489" s="8"/>
    </row>
    <row r="2490" spans="6:10" x14ac:dyDescent="0.25">
      <c r="F2490" s="8"/>
      <c r="J2490" s="8"/>
    </row>
    <row r="2491" spans="6:10" x14ac:dyDescent="0.25">
      <c r="F2491" s="8"/>
      <c r="J2491" s="8"/>
    </row>
    <row r="2492" spans="6:10" x14ac:dyDescent="0.25">
      <c r="F2492" s="8"/>
      <c r="J2492" s="8"/>
    </row>
    <row r="2493" spans="6:10" x14ac:dyDescent="0.25">
      <c r="F2493" s="8"/>
      <c r="J2493" s="8"/>
    </row>
    <row r="2494" spans="6:10" x14ac:dyDescent="0.25">
      <c r="F2494" s="8"/>
      <c r="J2494" s="8"/>
    </row>
    <row r="2495" spans="6:10" x14ac:dyDescent="0.25">
      <c r="F2495" s="8"/>
      <c r="J2495" s="8"/>
    </row>
    <row r="2496" spans="6:10" x14ac:dyDescent="0.25">
      <c r="F2496" s="8"/>
      <c r="J2496" s="8"/>
    </row>
    <row r="2497" spans="6:10" x14ac:dyDescent="0.25">
      <c r="F2497" s="8"/>
      <c r="J2497" s="8"/>
    </row>
    <row r="2498" spans="6:10" x14ac:dyDescent="0.25">
      <c r="F2498" s="8"/>
      <c r="J2498" s="8"/>
    </row>
    <row r="2499" spans="6:10" x14ac:dyDescent="0.25">
      <c r="F2499" s="8"/>
      <c r="J2499" s="8"/>
    </row>
    <row r="2500" spans="6:10" x14ac:dyDescent="0.25">
      <c r="F2500" s="8"/>
      <c r="J2500" s="8"/>
    </row>
    <row r="2501" spans="6:10" x14ac:dyDescent="0.25">
      <c r="F2501" s="8"/>
      <c r="J2501" s="8"/>
    </row>
    <row r="2502" spans="6:10" x14ac:dyDescent="0.25">
      <c r="F2502" s="8"/>
      <c r="J2502" s="8"/>
    </row>
    <row r="2503" spans="6:10" x14ac:dyDescent="0.25">
      <c r="F2503" s="8"/>
      <c r="J2503" s="8"/>
    </row>
    <row r="2504" spans="6:10" x14ac:dyDescent="0.25">
      <c r="F2504" s="8"/>
      <c r="J2504" s="8"/>
    </row>
    <row r="2505" spans="6:10" x14ac:dyDescent="0.25">
      <c r="F2505" s="8"/>
      <c r="J2505" s="8"/>
    </row>
    <row r="2506" spans="6:10" x14ac:dyDescent="0.25">
      <c r="F2506" s="8"/>
      <c r="J2506" s="8"/>
    </row>
    <row r="2507" spans="6:10" x14ac:dyDescent="0.25">
      <c r="F2507" s="8"/>
      <c r="J2507" s="8"/>
    </row>
    <row r="2508" spans="6:10" x14ac:dyDescent="0.25">
      <c r="F2508" s="8"/>
      <c r="J2508" s="8"/>
    </row>
    <row r="2509" spans="6:10" x14ac:dyDescent="0.25">
      <c r="F2509" s="8"/>
      <c r="J2509" s="8"/>
    </row>
    <row r="2510" spans="6:10" x14ac:dyDescent="0.25">
      <c r="F2510" s="8"/>
      <c r="J2510" s="8"/>
    </row>
    <row r="2511" spans="6:10" x14ac:dyDescent="0.25">
      <c r="F2511" s="8"/>
      <c r="J2511" s="8"/>
    </row>
    <row r="2512" spans="6:10" x14ac:dyDescent="0.25">
      <c r="F2512" s="8"/>
      <c r="J2512" s="8"/>
    </row>
    <row r="2513" spans="6:10" x14ac:dyDescent="0.25">
      <c r="F2513" s="8"/>
      <c r="J2513" s="8"/>
    </row>
    <row r="2514" spans="6:10" x14ac:dyDescent="0.25">
      <c r="F2514" s="8"/>
      <c r="J2514" s="8"/>
    </row>
    <row r="2515" spans="6:10" x14ac:dyDescent="0.25">
      <c r="F2515" s="8"/>
      <c r="J2515" s="8"/>
    </row>
    <row r="2516" spans="6:10" x14ac:dyDescent="0.25">
      <c r="F2516" s="8"/>
      <c r="J2516" s="8"/>
    </row>
    <row r="2517" spans="6:10" x14ac:dyDescent="0.25">
      <c r="F2517" s="8"/>
      <c r="J2517" s="8"/>
    </row>
    <row r="2518" spans="6:10" x14ac:dyDescent="0.25">
      <c r="F2518" s="8"/>
      <c r="J2518" s="8"/>
    </row>
    <row r="2519" spans="6:10" x14ac:dyDescent="0.25">
      <c r="F2519" s="8"/>
      <c r="J2519" s="8"/>
    </row>
    <row r="2520" spans="6:10" x14ac:dyDescent="0.25">
      <c r="F2520" s="8"/>
      <c r="J2520" s="8"/>
    </row>
    <row r="2521" spans="6:10" x14ac:dyDescent="0.25">
      <c r="F2521" s="8"/>
      <c r="J2521" s="8"/>
    </row>
    <row r="2522" spans="6:10" x14ac:dyDescent="0.25">
      <c r="F2522" s="8"/>
      <c r="J2522" s="8"/>
    </row>
    <row r="2523" spans="6:10" x14ac:dyDescent="0.25">
      <c r="F2523" s="8"/>
      <c r="J2523" s="8"/>
    </row>
    <row r="2524" spans="6:10" x14ac:dyDescent="0.25">
      <c r="F2524" s="8"/>
      <c r="J2524" s="8"/>
    </row>
    <row r="2525" spans="6:10" x14ac:dyDescent="0.25">
      <c r="F2525" s="8"/>
      <c r="J2525" s="8"/>
    </row>
    <row r="2526" spans="6:10" x14ac:dyDescent="0.25">
      <c r="F2526" s="8"/>
      <c r="J2526" s="8"/>
    </row>
    <row r="2527" spans="6:10" x14ac:dyDescent="0.25">
      <c r="F2527" s="8"/>
      <c r="J2527" s="8"/>
    </row>
    <row r="2528" spans="6:10" x14ac:dyDescent="0.25">
      <c r="F2528" s="8"/>
      <c r="J2528" s="8"/>
    </row>
    <row r="2529" spans="6:10" x14ac:dyDescent="0.25">
      <c r="F2529" s="8"/>
      <c r="J2529" s="8"/>
    </row>
    <row r="2530" spans="6:10" x14ac:dyDescent="0.25">
      <c r="F2530" s="8"/>
      <c r="J2530" s="8"/>
    </row>
    <row r="2531" spans="6:10" x14ac:dyDescent="0.25">
      <c r="F2531" s="8"/>
      <c r="J2531" s="8"/>
    </row>
    <row r="2532" spans="6:10" x14ac:dyDescent="0.25">
      <c r="F2532" s="8"/>
      <c r="J2532" s="8"/>
    </row>
    <row r="2533" spans="6:10" x14ac:dyDescent="0.25">
      <c r="F2533" s="8"/>
      <c r="J2533" s="8"/>
    </row>
    <row r="2534" spans="6:10" x14ac:dyDescent="0.25">
      <c r="F2534" s="8"/>
      <c r="J2534" s="8"/>
    </row>
    <row r="2535" spans="6:10" x14ac:dyDescent="0.25">
      <c r="F2535" s="8"/>
      <c r="J2535" s="8"/>
    </row>
    <row r="2536" spans="6:10" x14ac:dyDescent="0.25">
      <c r="F2536" s="8"/>
      <c r="J2536" s="8"/>
    </row>
    <row r="2537" spans="6:10" x14ac:dyDescent="0.25">
      <c r="F2537" s="8"/>
      <c r="J2537" s="8"/>
    </row>
    <row r="2538" spans="6:10" x14ac:dyDescent="0.25">
      <c r="F2538" s="8"/>
      <c r="J2538" s="8"/>
    </row>
    <row r="2539" spans="6:10" x14ac:dyDescent="0.25">
      <c r="F2539" s="8"/>
      <c r="J2539" s="8"/>
    </row>
    <row r="2540" spans="6:10" x14ac:dyDescent="0.25">
      <c r="F2540" s="8"/>
      <c r="J2540" s="8"/>
    </row>
  </sheetData>
  <mergeCells count="39">
    <mergeCell ref="J246:J251"/>
    <mergeCell ref="J239:J240"/>
    <mergeCell ref="D268:E268"/>
    <mergeCell ref="A259:B259"/>
    <mergeCell ref="D259:E259"/>
    <mergeCell ref="D260:E260"/>
    <mergeCell ref="D261:E261"/>
    <mergeCell ref="A263:C263"/>
    <mergeCell ref="D264:E264"/>
    <mergeCell ref="D265:E265"/>
    <mergeCell ref="D266:E266"/>
    <mergeCell ref="D267:E267"/>
    <mergeCell ref="J226:J231"/>
    <mergeCell ref="B179:B180"/>
    <mergeCell ref="C179:C180"/>
    <mergeCell ref="D179:D180"/>
    <mergeCell ref="E179:E180"/>
    <mergeCell ref="J179:J180"/>
    <mergeCell ref="A209:E209"/>
    <mergeCell ref="F209:G209"/>
    <mergeCell ref="H209:I209"/>
    <mergeCell ref="B210:B211"/>
    <mergeCell ref="C210:C211"/>
    <mergeCell ref="D210:D211"/>
    <mergeCell ref="E210:E211"/>
    <mergeCell ref="J210:J211"/>
    <mergeCell ref="J8:J9"/>
    <mergeCell ref="J23:J25"/>
    <mergeCell ref="K102:K103"/>
    <mergeCell ref="J155:J160"/>
    <mergeCell ref="A178:E178"/>
    <mergeCell ref="F178:G178"/>
    <mergeCell ref="H178:I178"/>
    <mergeCell ref="A2:G2"/>
    <mergeCell ref="B4:J4"/>
    <mergeCell ref="B5:G5"/>
    <mergeCell ref="A7:E7"/>
    <mergeCell ref="F7:G7"/>
    <mergeCell ref="H7:I7"/>
  </mergeCells>
  <pageMargins left="0.25" right="0.25" top="0.75" bottom="0.75" header="0.3" footer="0.3"/>
  <pageSetup paperSize="9" scale="82" fitToHeight="0" orientation="portrait" r:id="rId1"/>
  <headerFooter alignWithMargins="0"/>
  <rowBreaks count="5" manualBreakCount="5">
    <brk id="38" max="6" man="1"/>
    <brk id="96" max="6" man="1"/>
    <brk id="152" max="6" man="1"/>
    <brk id="197" max="6" man="1"/>
    <brk id="235" max="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pageSetUpPr fitToPage="1"/>
  </sheetPr>
  <dimension ref="A1:CP2540"/>
  <sheetViews>
    <sheetView tabSelected="1" zoomScale="115" zoomScaleNormal="115" zoomScaleSheetLayoutView="100" zoomScalePageLayoutView="85" workbookViewId="0">
      <selection activeCell="J273" sqref="J273"/>
    </sheetView>
  </sheetViews>
  <sheetFormatPr defaultRowHeight="12.75" x14ac:dyDescent="0.25"/>
  <cols>
    <col min="1" max="1" width="14" style="12" bestFit="1" customWidth="1"/>
    <col min="2" max="2" width="45.7109375" style="8" customWidth="1"/>
    <col min="3" max="3" width="17.7109375" style="8" bestFit="1" customWidth="1"/>
    <col min="4" max="5" width="8.7109375" style="8" customWidth="1"/>
    <col min="6" max="6" width="12.7109375" style="2" customWidth="1"/>
    <col min="7" max="7" width="12.7109375" style="8" customWidth="1"/>
    <col min="8" max="9" width="12.7109375" style="8" hidden="1" customWidth="1"/>
    <col min="10" max="10" width="45.7109375" style="112" customWidth="1"/>
    <col min="11" max="11" width="44.28515625" style="8" customWidth="1"/>
    <col min="12" max="257" width="9.140625" style="8"/>
    <col min="258" max="258" width="5.85546875" style="8" customWidth="1"/>
    <col min="259" max="259" width="43" style="8" customWidth="1"/>
    <col min="260" max="260" width="13.85546875" style="8" customWidth="1"/>
    <col min="261" max="261" width="9.140625" style="8"/>
    <col min="262" max="262" width="8.5703125" style="8" customWidth="1"/>
    <col min="263" max="263" width="9" style="8" customWidth="1"/>
    <col min="264" max="264" width="10.5703125" style="8" customWidth="1"/>
    <col min="265" max="513" width="9.140625" style="8"/>
    <col min="514" max="514" width="5.85546875" style="8" customWidth="1"/>
    <col min="515" max="515" width="43" style="8" customWidth="1"/>
    <col min="516" max="516" width="13.85546875" style="8" customWidth="1"/>
    <col min="517" max="517" width="9.140625" style="8"/>
    <col min="518" max="518" width="8.5703125" style="8" customWidth="1"/>
    <col min="519" max="519" width="9" style="8" customWidth="1"/>
    <col min="520" max="520" width="10.5703125" style="8" customWidth="1"/>
    <col min="521" max="769" width="9.140625" style="8"/>
    <col min="770" max="770" width="5.85546875" style="8" customWidth="1"/>
    <col min="771" max="771" width="43" style="8" customWidth="1"/>
    <col min="772" max="772" width="13.85546875" style="8" customWidth="1"/>
    <col min="773" max="773" width="9.140625" style="8"/>
    <col min="774" max="774" width="8.5703125" style="8" customWidth="1"/>
    <col min="775" max="775" width="9" style="8" customWidth="1"/>
    <col min="776" max="776" width="10.5703125" style="8" customWidth="1"/>
    <col min="777" max="1025" width="9.140625" style="8"/>
    <col min="1026" max="1026" width="5.85546875" style="8" customWidth="1"/>
    <col min="1027" max="1027" width="43" style="8" customWidth="1"/>
    <col min="1028" max="1028" width="13.85546875" style="8" customWidth="1"/>
    <col min="1029" max="1029" width="9.140625" style="8"/>
    <col min="1030" max="1030" width="8.5703125" style="8" customWidth="1"/>
    <col min="1031" max="1031" width="9" style="8" customWidth="1"/>
    <col min="1032" max="1032" width="10.5703125" style="8" customWidth="1"/>
    <col min="1033" max="1281" width="9.140625" style="8"/>
    <col min="1282" max="1282" width="5.85546875" style="8" customWidth="1"/>
    <col min="1283" max="1283" width="43" style="8" customWidth="1"/>
    <col min="1284" max="1284" width="13.85546875" style="8" customWidth="1"/>
    <col min="1285" max="1285" width="9.140625" style="8"/>
    <col min="1286" max="1286" width="8.5703125" style="8" customWidth="1"/>
    <col min="1287" max="1287" width="9" style="8" customWidth="1"/>
    <col min="1288" max="1288" width="10.5703125" style="8" customWidth="1"/>
    <col min="1289" max="1537" width="9.140625" style="8"/>
    <col min="1538" max="1538" width="5.85546875" style="8" customWidth="1"/>
    <col min="1539" max="1539" width="43" style="8" customWidth="1"/>
    <col min="1540" max="1540" width="13.85546875" style="8" customWidth="1"/>
    <col min="1541" max="1541" width="9.140625" style="8"/>
    <col min="1542" max="1542" width="8.5703125" style="8" customWidth="1"/>
    <col min="1543" max="1543" width="9" style="8" customWidth="1"/>
    <col min="1544" max="1544" width="10.5703125" style="8" customWidth="1"/>
    <col min="1545" max="1793" width="9.140625" style="8"/>
    <col min="1794" max="1794" width="5.85546875" style="8" customWidth="1"/>
    <col min="1795" max="1795" width="43" style="8" customWidth="1"/>
    <col min="1796" max="1796" width="13.85546875" style="8" customWidth="1"/>
    <col min="1797" max="1797" width="9.140625" style="8"/>
    <col min="1798" max="1798" width="8.5703125" style="8" customWidth="1"/>
    <col min="1799" max="1799" width="9" style="8" customWidth="1"/>
    <col min="1800" max="1800" width="10.5703125" style="8" customWidth="1"/>
    <col min="1801" max="2049" width="9.140625" style="8"/>
    <col min="2050" max="2050" width="5.85546875" style="8" customWidth="1"/>
    <col min="2051" max="2051" width="43" style="8" customWidth="1"/>
    <col min="2052" max="2052" width="13.85546875" style="8" customWidth="1"/>
    <col min="2053" max="2053" width="9.140625" style="8"/>
    <col min="2054" max="2054" width="8.5703125" style="8" customWidth="1"/>
    <col min="2055" max="2055" width="9" style="8" customWidth="1"/>
    <col min="2056" max="2056" width="10.5703125" style="8" customWidth="1"/>
    <col min="2057" max="2305" width="9.140625" style="8"/>
    <col min="2306" max="2306" width="5.85546875" style="8" customWidth="1"/>
    <col min="2307" max="2307" width="43" style="8" customWidth="1"/>
    <col min="2308" max="2308" width="13.85546875" style="8" customWidth="1"/>
    <col min="2309" max="2309" width="9.140625" style="8"/>
    <col min="2310" max="2310" width="8.5703125" style="8" customWidth="1"/>
    <col min="2311" max="2311" width="9" style="8" customWidth="1"/>
    <col min="2312" max="2312" width="10.5703125" style="8" customWidth="1"/>
    <col min="2313" max="2561" width="9.140625" style="8"/>
    <col min="2562" max="2562" width="5.85546875" style="8" customWidth="1"/>
    <col min="2563" max="2563" width="43" style="8" customWidth="1"/>
    <col min="2564" max="2564" width="13.85546875" style="8" customWidth="1"/>
    <col min="2565" max="2565" width="9.140625" style="8"/>
    <col min="2566" max="2566" width="8.5703125" style="8" customWidth="1"/>
    <col min="2567" max="2567" width="9" style="8" customWidth="1"/>
    <col min="2568" max="2568" width="10.5703125" style="8" customWidth="1"/>
    <col min="2569" max="2817" width="9.140625" style="8"/>
    <col min="2818" max="2818" width="5.85546875" style="8" customWidth="1"/>
    <col min="2819" max="2819" width="43" style="8" customWidth="1"/>
    <col min="2820" max="2820" width="13.85546875" style="8" customWidth="1"/>
    <col min="2821" max="2821" width="9.140625" style="8"/>
    <col min="2822" max="2822" width="8.5703125" style="8" customWidth="1"/>
    <col min="2823" max="2823" width="9" style="8" customWidth="1"/>
    <col min="2824" max="2824" width="10.5703125" style="8" customWidth="1"/>
    <col min="2825" max="3073" width="9.140625" style="8"/>
    <col min="3074" max="3074" width="5.85546875" style="8" customWidth="1"/>
    <col min="3075" max="3075" width="43" style="8" customWidth="1"/>
    <col min="3076" max="3076" width="13.85546875" style="8" customWidth="1"/>
    <col min="3077" max="3077" width="9.140625" style="8"/>
    <col min="3078" max="3078" width="8.5703125" style="8" customWidth="1"/>
    <col min="3079" max="3079" width="9" style="8" customWidth="1"/>
    <col min="3080" max="3080" width="10.5703125" style="8" customWidth="1"/>
    <col min="3081" max="3329" width="9.140625" style="8"/>
    <col min="3330" max="3330" width="5.85546875" style="8" customWidth="1"/>
    <col min="3331" max="3331" width="43" style="8" customWidth="1"/>
    <col min="3332" max="3332" width="13.85546875" style="8" customWidth="1"/>
    <col min="3333" max="3333" width="9.140625" style="8"/>
    <col min="3334" max="3334" width="8.5703125" style="8" customWidth="1"/>
    <col min="3335" max="3335" width="9" style="8" customWidth="1"/>
    <col min="3336" max="3336" width="10.5703125" style="8" customWidth="1"/>
    <col min="3337" max="3585" width="9.140625" style="8"/>
    <col min="3586" max="3586" width="5.85546875" style="8" customWidth="1"/>
    <col min="3587" max="3587" width="43" style="8" customWidth="1"/>
    <col min="3588" max="3588" width="13.85546875" style="8" customWidth="1"/>
    <col min="3589" max="3589" width="9.140625" style="8"/>
    <col min="3590" max="3590" width="8.5703125" style="8" customWidth="1"/>
    <col min="3591" max="3591" width="9" style="8" customWidth="1"/>
    <col min="3592" max="3592" width="10.5703125" style="8" customWidth="1"/>
    <col min="3593" max="3841" width="9.140625" style="8"/>
    <col min="3842" max="3842" width="5.85546875" style="8" customWidth="1"/>
    <col min="3843" max="3843" width="43" style="8" customWidth="1"/>
    <col min="3844" max="3844" width="13.85546875" style="8" customWidth="1"/>
    <col min="3845" max="3845" width="9.140625" style="8"/>
    <col min="3846" max="3846" width="8.5703125" style="8" customWidth="1"/>
    <col min="3847" max="3847" width="9" style="8" customWidth="1"/>
    <col min="3848" max="3848" width="10.5703125" style="8" customWidth="1"/>
    <col min="3849" max="4097" width="9.140625" style="8"/>
    <col min="4098" max="4098" width="5.85546875" style="8" customWidth="1"/>
    <col min="4099" max="4099" width="43" style="8" customWidth="1"/>
    <col min="4100" max="4100" width="13.85546875" style="8" customWidth="1"/>
    <col min="4101" max="4101" width="9.140625" style="8"/>
    <col min="4102" max="4102" width="8.5703125" style="8" customWidth="1"/>
    <col min="4103" max="4103" width="9" style="8" customWidth="1"/>
    <col min="4104" max="4104" width="10.5703125" style="8" customWidth="1"/>
    <col min="4105" max="4353" width="9.140625" style="8"/>
    <col min="4354" max="4354" width="5.85546875" style="8" customWidth="1"/>
    <col min="4355" max="4355" width="43" style="8" customWidth="1"/>
    <col min="4356" max="4356" width="13.85546875" style="8" customWidth="1"/>
    <col min="4357" max="4357" width="9.140625" style="8"/>
    <col min="4358" max="4358" width="8.5703125" style="8" customWidth="1"/>
    <col min="4359" max="4359" width="9" style="8" customWidth="1"/>
    <col min="4360" max="4360" width="10.5703125" style="8" customWidth="1"/>
    <col min="4361" max="4609" width="9.140625" style="8"/>
    <col min="4610" max="4610" width="5.85546875" style="8" customWidth="1"/>
    <col min="4611" max="4611" width="43" style="8" customWidth="1"/>
    <col min="4612" max="4612" width="13.85546875" style="8" customWidth="1"/>
    <col min="4613" max="4613" width="9.140625" style="8"/>
    <col min="4614" max="4614" width="8.5703125" style="8" customWidth="1"/>
    <col min="4615" max="4615" width="9" style="8" customWidth="1"/>
    <col min="4616" max="4616" width="10.5703125" style="8" customWidth="1"/>
    <col min="4617" max="4865" width="9.140625" style="8"/>
    <col min="4866" max="4866" width="5.85546875" style="8" customWidth="1"/>
    <col min="4867" max="4867" width="43" style="8" customWidth="1"/>
    <col min="4868" max="4868" width="13.85546875" style="8" customWidth="1"/>
    <col min="4869" max="4869" width="9.140625" style="8"/>
    <col min="4870" max="4870" width="8.5703125" style="8" customWidth="1"/>
    <col min="4871" max="4871" width="9" style="8" customWidth="1"/>
    <col min="4872" max="4872" width="10.5703125" style="8" customWidth="1"/>
    <col min="4873" max="5121" width="9.140625" style="8"/>
    <col min="5122" max="5122" width="5.85546875" style="8" customWidth="1"/>
    <col min="5123" max="5123" width="43" style="8" customWidth="1"/>
    <col min="5124" max="5124" width="13.85546875" style="8" customWidth="1"/>
    <col min="5125" max="5125" width="9.140625" style="8"/>
    <col min="5126" max="5126" width="8.5703125" style="8" customWidth="1"/>
    <col min="5127" max="5127" width="9" style="8" customWidth="1"/>
    <col min="5128" max="5128" width="10.5703125" style="8" customWidth="1"/>
    <col min="5129" max="5377" width="9.140625" style="8"/>
    <col min="5378" max="5378" width="5.85546875" style="8" customWidth="1"/>
    <col min="5379" max="5379" width="43" style="8" customWidth="1"/>
    <col min="5380" max="5380" width="13.85546875" style="8" customWidth="1"/>
    <col min="5381" max="5381" width="9.140625" style="8"/>
    <col min="5382" max="5382" width="8.5703125" style="8" customWidth="1"/>
    <col min="5383" max="5383" width="9" style="8" customWidth="1"/>
    <col min="5384" max="5384" width="10.5703125" style="8" customWidth="1"/>
    <col min="5385" max="5633" width="9.140625" style="8"/>
    <col min="5634" max="5634" width="5.85546875" style="8" customWidth="1"/>
    <col min="5635" max="5635" width="43" style="8" customWidth="1"/>
    <col min="5636" max="5636" width="13.85546875" style="8" customWidth="1"/>
    <col min="5637" max="5637" width="9.140625" style="8"/>
    <col min="5638" max="5638" width="8.5703125" style="8" customWidth="1"/>
    <col min="5639" max="5639" width="9" style="8" customWidth="1"/>
    <col min="5640" max="5640" width="10.5703125" style="8" customWidth="1"/>
    <col min="5641" max="5889" width="9.140625" style="8"/>
    <col min="5890" max="5890" width="5.85546875" style="8" customWidth="1"/>
    <col min="5891" max="5891" width="43" style="8" customWidth="1"/>
    <col min="5892" max="5892" width="13.85546875" style="8" customWidth="1"/>
    <col min="5893" max="5893" width="9.140625" style="8"/>
    <col min="5894" max="5894" width="8.5703125" style="8" customWidth="1"/>
    <col min="5895" max="5895" width="9" style="8" customWidth="1"/>
    <col min="5896" max="5896" width="10.5703125" style="8" customWidth="1"/>
    <col min="5897" max="6145" width="9.140625" style="8"/>
    <col min="6146" max="6146" width="5.85546875" style="8" customWidth="1"/>
    <col min="6147" max="6147" width="43" style="8" customWidth="1"/>
    <col min="6148" max="6148" width="13.85546875" style="8" customWidth="1"/>
    <col min="6149" max="6149" width="9.140625" style="8"/>
    <col min="6150" max="6150" width="8.5703125" style="8" customWidth="1"/>
    <col min="6151" max="6151" width="9" style="8" customWidth="1"/>
    <col min="6152" max="6152" width="10.5703125" style="8" customWidth="1"/>
    <col min="6153" max="6401" width="9.140625" style="8"/>
    <col min="6402" max="6402" width="5.85546875" style="8" customWidth="1"/>
    <col min="6403" max="6403" width="43" style="8" customWidth="1"/>
    <col min="6404" max="6404" width="13.85546875" style="8" customWidth="1"/>
    <col min="6405" max="6405" width="9.140625" style="8"/>
    <col min="6406" max="6406" width="8.5703125" style="8" customWidth="1"/>
    <col min="6407" max="6407" width="9" style="8" customWidth="1"/>
    <col min="6408" max="6408" width="10.5703125" style="8" customWidth="1"/>
    <col min="6409" max="6657" width="9.140625" style="8"/>
    <col min="6658" max="6658" width="5.85546875" style="8" customWidth="1"/>
    <col min="6659" max="6659" width="43" style="8" customWidth="1"/>
    <col min="6660" max="6660" width="13.85546875" style="8" customWidth="1"/>
    <col min="6661" max="6661" width="9.140625" style="8"/>
    <col min="6662" max="6662" width="8.5703125" style="8" customWidth="1"/>
    <col min="6663" max="6663" width="9" style="8" customWidth="1"/>
    <col min="6664" max="6664" width="10.5703125" style="8" customWidth="1"/>
    <col min="6665" max="6913" width="9.140625" style="8"/>
    <col min="6914" max="6914" width="5.85546875" style="8" customWidth="1"/>
    <col min="6915" max="6915" width="43" style="8" customWidth="1"/>
    <col min="6916" max="6916" width="13.85546875" style="8" customWidth="1"/>
    <col min="6917" max="6917" width="9.140625" style="8"/>
    <col min="6918" max="6918" width="8.5703125" style="8" customWidth="1"/>
    <col min="6919" max="6919" width="9" style="8" customWidth="1"/>
    <col min="6920" max="6920" width="10.5703125" style="8" customWidth="1"/>
    <col min="6921" max="7169" width="9.140625" style="8"/>
    <col min="7170" max="7170" width="5.85546875" style="8" customWidth="1"/>
    <col min="7171" max="7171" width="43" style="8" customWidth="1"/>
    <col min="7172" max="7172" width="13.85546875" style="8" customWidth="1"/>
    <col min="7173" max="7173" width="9.140625" style="8"/>
    <col min="7174" max="7174" width="8.5703125" style="8" customWidth="1"/>
    <col min="7175" max="7175" width="9" style="8" customWidth="1"/>
    <col min="7176" max="7176" width="10.5703125" style="8" customWidth="1"/>
    <col min="7177" max="7425" width="9.140625" style="8"/>
    <col min="7426" max="7426" width="5.85546875" style="8" customWidth="1"/>
    <col min="7427" max="7427" width="43" style="8" customWidth="1"/>
    <col min="7428" max="7428" width="13.85546875" style="8" customWidth="1"/>
    <col min="7429" max="7429" width="9.140625" style="8"/>
    <col min="7430" max="7430" width="8.5703125" style="8" customWidth="1"/>
    <col min="7431" max="7431" width="9" style="8" customWidth="1"/>
    <col min="7432" max="7432" width="10.5703125" style="8" customWidth="1"/>
    <col min="7433" max="7681" width="9.140625" style="8"/>
    <col min="7682" max="7682" width="5.85546875" style="8" customWidth="1"/>
    <col min="7683" max="7683" width="43" style="8" customWidth="1"/>
    <col min="7684" max="7684" width="13.85546875" style="8" customWidth="1"/>
    <col min="7685" max="7685" width="9.140625" style="8"/>
    <col min="7686" max="7686" width="8.5703125" style="8" customWidth="1"/>
    <col min="7687" max="7687" width="9" style="8" customWidth="1"/>
    <col min="7688" max="7688" width="10.5703125" style="8" customWidth="1"/>
    <col min="7689" max="7937" width="9.140625" style="8"/>
    <col min="7938" max="7938" width="5.85546875" style="8" customWidth="1"/>
    <col min="7939" max="7939" width="43" style="8" customWidth="1"/>
    <col min="7940" max="7940" width="13.85546875" style="8" customWidth="1"/>
    <col min="7941" max="7941" width="9.140625" style="8"/>
    <col min="7942" max="7942" width="8.5703125" style="8" customWidth="1"/>
    <col min="7943" max="7943" width="9" style="8" customWidth="1"/>
    <col min="7944" max="7944" width="10.5703125" style="8" customWidth="1"/>
    <col min="7945" max="8193" width="9.140625" style="8"/>
    <col min="8194" max="8194" width="5.85546875" style="8" customWidth="1"/>
    <col min="8195" max="8195" width="43" style="8" customWidth="1"/>
    <col min="8196" max="8196" width="13.85546875" style="8" customWidth="1"/>
    <col min="8197" max="8197" width="9.140625" style="8"/>
    <col min="8198" max="8198" width="8.5703125" style="8" customWidth="1"/>
    <col min="8199" max="8199" width="9" style="8" customWidth="1"/>
    <col min="8200" max="8200" width="10.5703125" style="8" customWidth="1"/>
    <col min="8201" max="8449" width="9.140625" style="8"/>
    <col min="8450" max="8450" width="5.85546875" style="8" customWidth="1"/>
    <col min="8451" max="8451" width="43" style="8" customWidth="1"/>
    <col min="8452" max="8452" width="13.85546875" style="8" customWidth="1"/>
    <col min="8453" max="8453" width="9.140625" style="8"/>
    <col min="8454" max="8454" width="8.5703125" style="8" customWidth="1"/>
    <col min="8455" max="8455" width="9" style="8" customWidth="1"/>
    <col min="8456" max="8456" width="10.5703125" style="8" customWidth="1"/>
    <col min="8457" max="8705" width="9.140625" style="8"/>
    <col min="8706" max="8706" width="5.85546875" style="8" customWidth="1"/>
    <col min="8707" max="8707" width="43" style="8" customWidth="1"/>
    <col min="8708" max="8708" width="13.85546875" style="8" customWidth="1"/>
    <col min="8709" max="8709" width="9.140625" style="8"/>
    <col min="8710" max="8710" width="8.5703125" style="8" customWidth="1"/>
    <col min="8711" max="8711" width="9" style="8" customWidth="1"/>
    <col min="8712" max="8712" width="10.5703125" style="8" customWidth="1"/>
    <col min="8713" max="8961" width="9.140625" style="8"/>
    <col min="8962" max="8962" width="5.85546875" style="8" customWidth="1"/>
    <col min="8963" max="8963" width="43" style="8" customWidth="1"/>
    <col min="8964" max="8964" width="13.85546875" style="8" customWidth="1"/>
    <col min="8965" max="8965" width="9.140625" style="8"/>
    <col min="8966" max="8966" width="8.5703125" style="8" customWidth="1"/>
    <col min="8967" max="8967" width="9" style="8" customWidth="1"/>
    <col min="8968" max="8968" width="10.5703125" style="8" customWidth="1"/>
    <col min="8969" max="9217" width="9.140625" style="8"/>
    <col min="9218" max="9218" width="5.85546875" style="8" customWidth="1"/>
    <col min="9219" max="9219" width="43" style="8" customWidth="1"/>
    <col min="9220" max="9220" width="13.85546875" style="8" customWidth="1"/>
    <col min="9221" max="9221" width="9.140625" style="8"/>
    <col min="9222" max="9222" width="8.5703125" style="8" customWidth="1"/>
    <col min="9223" max="9223" width="9" style="8" customWidth="1"/>
    <col min="9224" max="9224" width="10.5703125" style="8" customWidth="1"/>
    <col min="9225" max="9473" width="9.140625" style="8"/>
    <col min="9474" max="9474" width="5.85546875" style="8" customWidth="1"/>
    <col min="9475" max="9475" width="43" style="8" customWidth="1"/>
    <col min="9476" max="9476" width="13.85546875" style="8" customWidth="1"/>
    <col min="9477" max="9477" width="9.140625" style="8"/>
    <col min="9478" max="9478" width="8.5703125" style="8" customWidth="1"/>
    <col min="9479" max="9479" width="9" style="8" customWidth="1"/>
    <col min="9480" max="9480" width="10.5703125" style="8" customWidth="1"/>
    <col min="9481" max="9729" width="9.140625" style="8"/>
    <col min="9730" max="9730" width="5.85546875" style="8" customWidth="1"/>
    <col min="9731" max="9731" width="43" style="8" customWidth="1"/>
    <col min="9732" max="9732" width="13.85546875" style="8" customWidth="1"/>
    <col min="9733" max="9733" width="9.140625" style="8"/>
    <col min="9734" max="9734" width="8.5703125" style="8" customWidth="1"/>
    <col min="9735" max="9735" width="9" style="8" customWidth="1"/>
    <col min="9736" max="9736" width="10.5703125" style="8" customWidth="1"/>
    <col min="9737" max="9985" width="9.140625" style="8"/>
    <col min="9986" max="9986" width="5.85546875" style="8" customWidth="1"/>
    <col min="9987" max="9987" width="43" style="8" customWidth="1"/>
    <col min="9988" max="9988" width="13.85546875" style="8" customWidth="1"/>
    <col min="9989" max="9989" width="9.140625" style="8"/>
    <col min="9990" max="9990" width="8.5703125" style="8" customWidth="1"/>
    <col min="9991" max="9991" width="9" style="8" customWidth="1"/>
    <col min="9992" max="9992" width="10.5703125" style="8" customWidth="1"/>
    <col min="9993" max="10241" width="9.140625" style="8"/>
    <col min="10242" max="10242" width="5.85546875" style="8" customWidth="1"/>
    <col min="10243" max="10243" width="43" style="8" customWidth="1"/>
    <col min="10244" max="10244" width="13.85546875" style="8" customWidth="1"/>
    <col min="10245" max="10245" width="9.140625" style="8"/>
    <col min="10246" max="10246" width="8.5703125" style="8" customWidth="1"/>
    <col min="10247" max="10247" width="9" style="8" customWidth="1"/>
    <col min="10248" max="10248" width="10.5703125" style="8" customWidth="1"/>
    <col min="10249" max="10497" width="9.140625" style="8"/>
    <col min="10498" max="10498" width="5.85546875" style="8" customWidth="1"/>
    <col min="10499" max="10499" width="43" style="8" customWidth="1"/>
    <col min="10500" max="10500" width="13.85546875" style="8" customWidth="1"/>
    <col min="10501" max="10501" width="9.140625" style="8"/>
    <col min="10502" max="10502" width="8.5703125" style="8" customWidth="1"/>
    <col min="10503" max="10503" width="9" style="8" customWidth="1"/>
    <col min="10504" max="10504" width="10.5703125" style="8" customWidth="1"/>
    <col min="10505" max="10753" width="9.140625" style="8"/>
    <col min="10754" max="10754" width="5.85546875" style="8" customWidth="1"/>
    <col min="10755" max="10755" width="43" style="8" customWidth="1"/>
    <col min="10756" max="10756" width="13.85546875" style="8" customWidth="1"/>
    <col min="10757" max="10757" width="9.140625" style="8"/>
    <col min="10758" max="10758" width="8.5703125" style="8" customWidth="1"/>
    <col min="10759" max="10759" width="9" style="8" customWidth="1"/>
    <col min="10760" max="10760" width="10.5703125" style="8" customWidth="1"/>
    <col min="10761" max="11009" width="9.140625" style="8"/>
    <col min="11010" max="11010" width="5.85546875" style="8" customWidth="1"/>
    <col min="11011" max="11011" width="43" style="8" customWidth="1"/>
    <col min="11012" max="11012" width="13.85546875" style="8" customWidth="1"/>
    <col min="11013" max="11013" width="9.140625" style="8"/>
    <col min="11014" max="11014" width="8.5703125" style="8" customWidth="1"/>
    <col min="11015" max="11015" width="9" style="8" customWidth="1"/>
    <col min="11016" max="11016" width="10.5703125" style="8" customWidth="1"/>
    <col min="11017" max="11265" width="9.140625" style="8"/>
    <col min="11266" max="11266" width="5.85546875" style="8" customWidth="1"/>
    <col min="11267" max="11267" width="43" style="8" customWidth="1"/>
    <col min="11268" max="11268" width="13.85546875" style="8" customWidth="1"/>
    <col min="11269" max="11269" width="9.140625" style="8"/>
    <col min="11270" max="11270" width="8.5703125" style="8" customWidth="1"/>
    <col min="11271" max="11271" width="9" style="8" customWidth="1"/>
    <col min="11272" max="11272" width="10.5703125" style="8" customWidth="1"/>
    <col min="11273" max="11521" width="9.140625" style="8"/>
    <col min="11522" max="11522" width="5.85546875" style="8" customWidth="1"/>
    <col min="11523" max="11523" width="43" style="8" customWidth="1"/>
    <col min="11524" max="11524" width="13.85546875" style="8" customWidth="1"/>
    <col min="11525" max="11525" width="9.140625" style="8"/>
    <col min="11526" max="11526" width="8.5703125" style="8" customWidth="1"/>
    <col min="11527" max="11527" width="9" style="8" customWidth="1"/>
    <col min="11528" max="11528" width="10.5703125" style="8" customWidth="1"/>
    <col min="11529" max="11777" width="9.140625" style="8"/>
    <col min="11778" max="11778" width="5.85546875" style="8" customWidth="1"/>
    <col min="11779" max="11779" width="43" style="8" customWidth="1"/>
    <col min="11780" max="11780" width="13.85546875" style="8" customWidth="1"/>
    <col min="11781" max="11781" width="9.140625" style="8"/>
    <col min="11782" max="11782" width="8.5703125" style="8" customWidth="1"/>
    <col min="11783" max="11783" width="9" style="8" customWidth="1"/>
    <col min="11784" max="11784" width="10.5703125" style="8" customWidth="1"/>
    <col min="11785" max="12033" width="9.140625" style="8"/>
    <col min="12034" max="12034" width="5.85546875" style="8" customWidth="1"/>
    <col min="12035" max="12035" width="43" style="8" customWidth="1"/>
    <col min="12036" max="12036" width="13.85546875" style="8" customWidth="1"/>
    <col min="12037" max="12037" width="9.140625" style="8"/>
    <col min="12038" max="12038" width="8.5703125" style="8" customWidth="1"/>
    <col min="12039" max="12039" width="9" style="8" customWidth="1"/>
    <col min="12040" max="12040" width="10.5703125" style="8" customWidth="1"/>
    <col min="12041" max="12289" width="9.140625" style="8"/>
    <col min="12290" max="12290" width="5.85546875" style="8" customWidth="1"/>
    <col min="12291" max="12291" width="43" style="8" customWidth="1"/>
    <col min="12292" max="12292" width="13.85546875" style="8" customWidth="1"/>
    <col min="12293" max="12293" width="9.140625" style="8"/>
    <col min="12294" max="12294" width="8.5703125" style="8" customWidth="1"/>
    <col min="12295" max="12295" width="9" style="8" customWidth="1"/>
    <col min="12296" max="12296" width="10.5703125" style="8" customWidth="1"/>
    <col min="12297" max="12545" width="9.140625" style="8"/>
    <col min="12546" max="12546" width="5.85546875" style="8" customWidth="1"/>
    <col min="12547" max="12547" width="43" style="8" customWidth="1"/>
    <col min="12548" max="12548" width="13.85546875" style="8" customWidth="1"/>
    <col min="12549" max="12549" width="9.140625" style="8"/>
    <col min="12550" max="12550" width="8.5703125" style="8" customWidth="1"/>
    <col min="12551" max="12551" width="9" style="8" customWidth="1"/>
    <col min="12552" max="12552" width="10.5703125" style="8" customWidth="1"/>
    <col min="12553" max="12801" width="9.140625" style="8"/>
    <col min="12802" max="12802" width="5.85546875" style="8" customWidth="1"/>
    <col min="12803" max="12803" width="43" style="8" customWidth="1"/>
    <col min="12804" max="12804" width="13.85546875" style="8" customWidth="1"/>
    <col min="12805" max="12805" width="9.140625" style="8"/>
    <col min="12806" max="12806" width="8.5703125" style="8" customWidth="1"/>
    <col min="12807" max="12807" width="9" style="8" customWidth="1"/>
    <col min="12808" max="12808" width="10.5703125" style="8" customWidth="1"/>
    <col min="12809" max="13057" width="9.140625" style="8"/>
    <col min="13058" max="13058" width="5.85546875" style="8" customWidth="1"/>
    <col min="13059" max="13059" width="43" style="8" customWidth="1"/>
    <col min="13060" max="13060" width="13.85546875" style="8" customWidth="1"/>
    <col min="13061" max="13061" width="9.140625" style="8"/>
    <col min="13062" max="13062" width="8.5703125" style="8" customWidth="1"/>
    <col min="13063" max="13063" width="9" style="8" customWidth="1"/>
    <col min="13064" max="13064" width="10.5703125" style="8" customWidth="1"/>
    <col min="13065" max="13313" width="9.140625" style="8"/>
    <col min="13314" max="13314" width="5.85546875" style="8" customWidth="1"/>
    <col min="13315" max="13315" width="43" style="8" customWidth="1"/>
    <col min="13316" max="13316" width="13.85546875" style="8" customWidth="1"/>
    <col min="13317" max="13317" width="9.140625" style="8"/>
    <col min="13318" max="13318" width="8.5703125" style="8" customWidth="1"/>
    <col min="13319" max="13319" width="9" style="8" customWidth="1"/>
    <col min="13320" max="13320" width="10.5703125" style="8" customWidth="1"/>
    <col min="13321" max="13569" width="9.140625" style="8"/>
    <col min="13570" max="13570" width="5.85546875" style="8" customWidth="1"/>
    <col min="13571" max="13571" width="43" style="8" customWidth="1"/>
    <col min="13572" max="13572" width="13.85546875" style="8" customWidth="1"/>
    <col min="13573" max="13573" width="9.140625" style="8"/>
    <col min="13574" max="13574" width="8.5703125" style="8" customWidth="1"/>
    <col min="13575" max="13575" width="9" style="8" customWidth="1"/>
    <col min="13576" max="13576" width="10.5703125" style="8" customWidth="1"/>
    <col min="13577" max="13825" width="9.140625" style="8"/>
    <col min="13826" max="13826" width="5.85546875" style="8" customWidth="1"/>
    <col min="13827" max="13827" width="43" style="8" customWidth="1"/>
    <col min="13828" max="13828" width="13.85546875" style="8" customWidth="1"/>
    <col min="13829" max="13829" width="9.140625" style="8"/>
    <col min="13830" max="13830" width="8.5703125" style="8" customWidth="1"/>
    <col min="13831" max="13831" width="9" style="8" customWidth="1"/>
    <col min="13832" max="13832" width="10.5703125" style="8" customWidth="1"/>
    <col min="13833" max="14081" width="9.140625" style="8"/>
    <col min="14082" max="14082" width="5.85546875" style="8" customWidth="1"/>
    <col min="14083" max="14083" width="43" style="8" customWidth="1"/>
    <col min="14084" max="14084" width="13.85546875" style="8" customWidth="1"/>
    <col min="14085" max="14085" width="9.140625" style="8"/>
    <col min="14086" max="14086" width="8.5703125" style="8" customWidth="1"/>
    <col min="14087" max="14087" width="9" style="8" customWidth="1"/>
    <col min="14088" max="14088" width="10.5703125" style="8" customWidth="1"/>
    <col min="14089" max="14337" width="9.140625" style="8"/>
    <col min="14338" max="14338" width="5.85546875" style="8" customWidth="1"/>
    <col min="14339" max="14339" width="43" style="8" customWidth="1"/>
    <col min="14340" max="14340" width="13.85546875" style="8" customWidth="1"/>
    <col min="14341" max="14341" width="9.140625" style="8"/>
    <col min="14342" max="14342" width="8.5703125" style="8" customWidth="1"/>
    <col min="14343" max="14343" width="9" style="8" customWidth="1"/>
    <col min="14344" max="14344" width="10.5703125" style="8" customWidth="1"/>
    <col min="14345" max="14593" width="9.140625" style="8"/>
    <col min="14594" max="14594" width="5.85546875" style="8" customWidth="1"/>
    <col min="14595" max="14595" width="43" style="8" customWidth="1"/>
    <col min="14596" max="14596" width="13.85546875" style="8" customWidth="1"/>
    <col min="14597" max="14597" width="9.140625" style="8"/>
    <col min="14598" max="14598" width="8.5703125" style="8" customWidth="1"/>
    <col min="14599" max="14599" width="9" style="8" customWidth="1"/>
    <col min="14600" max="14600" width="10.5703125" style="8" customWidth="1"/>
    <col min="14601" max="14849" width="9.140625" style="8"/>
    <col min="14850" max="14850" width="5.85546875" style="8" customWidth="1"/>
    <col min="14851" max="14851" width="43" style="8" customWidth="1"/>
    <col min="14852" max="14852" width="13.85546875" style="8" customWidth="1"/>
    <col min="14853" max="14853" width="9.140625" style="8"/>
    <col min="14854" max="14854" width="8.5703125" style="8" customWidth="1"/>
    <col min="14855" max="14855" width="9" style="8" customWidth="1"/>
    <col min="14856" max="14856" width="10.5703125" style="8" customWidth="1"/>
    <col min="14857" max="15105" width="9.140625" style="8"/>
    <col min="15106" max="15106" width="5.85546875" style="8" customWidth="1"/>
    <col min="15107" max="15107" width="43" style="8" customWidth="1"/>
    <col min="15108" max="15108" width="13.85546875" style="8" customWidth="1"/>
    <col min="15109" max="15109" width="9.140625" style="8"/>
    <col min="15110" max="15110" width="8.5703125" style="8" customWidth="1"/>
    <col min="15111" max="15111" width="9" style="8" customWidth="1"/>
    <col min="15112" max="15112" width="10.5703125" style="8" customWidth="1"/>
    <col min="15113" max="15361" width="9.140625" style="8"/>
    <col min="15362" max="15362" width="5.85546875" style="8" customWidth="1"/>
    <col min="15363" max="15363" width="43" style="8" customWidth="1"/>
    <col min="15364" max="15364" width="13.85546875" style="8" customWidth="1"/>
    <col min="15365" max="15365" width="9.140625" style="8"/>
    <col min="15366" max="15366" width="8.5703125" style="8" customWidth="1"/>
    <col min="15367" max="15367" width="9" style="8" customWidth="1"/>
    <col min="15368" max="15368" width="10.5703125" style="8" customWidth="1"/>
    <col min="15369" max="15617" width="9.140625" style="8"/>
    <col min="15618" max="15618" width="5.85546875" style="8" customWidth="1"/>
    <col min="15619" max="15619" width="43" style="8" customWidth="1"/>
    <col min="15620" max="15620" width="13.85546875" style="8" customWidth="1"/>
    <col min="15621" max="15621" width="9.140625" style="8"/>
    <col min="15622" max="15622" width="8.5703125" style="8" customWidth="1"/>
    <col min="15623" max="15623" width="9" style="8" customWidth="1"/>
    <col min="15624" max="15624" width="10.5703125" style="8" customWidth="1"/>
    <col min="15625" max="15873" width="9.140625" style="8"/>
    <col min="15874" max="15874" width="5.85546875" style="8" customWidth="1"/>
    <col min="15875" max="15875" width="43" style="8" customWidth="1"/>
    <col min="15876" max="15876" width="13.85546875" style="8" customWidth="1"/>
    <col min="15877" max="15877" width="9.140625" style="8"/>
    <col min="15878" max="15878" width="8.5703125" style="8" customWidth="1"/>
    <col min="15879" max="15879" width="9" style="8" customWidth="1"/>
    <col min="15880" max="15880" width="10.5703125" style="8" customWidth="1"/>
    <col min="15881" max="16129" width="9.140625" style="8"/>
    <col min="16130" max="16130" width="5.85546875" style="8" customWidth="1"/>
    <col min="16131" max="16131" width="43" style="8" customWidth="1"/>
    <col min="16132" max="16132" width="13.85546875" style="8" customWidth="1"/>
    <col min="16133" max="16133" width="9.140625" style="8"/>
    <col min="16134" max="16134" width="8.5703125" style="8" customWidth="1"/>
    <col min="16135" max="16135" width="9" style="8" customWidth="1"/>
    <col min="16136" max="16136" width="10.5703125" style="8" customWidth="1"/>
    <col min="16137" max="16384" width="9.140625" style="8"/>
  </cols>
  <sheetData>
    <row r="1" spans="1:94" ht="13.15" x14ac:dyDescent="0.3">
      <c r="A1" s="29"/>
      <c r="B1" s="29"/>
      <c r="C1" s="29"/>
      <c r="D1" s="29"/>
      <c r="E1" s="29"/>
      <c r="F1" s="29"/>
      <c r="G1" s="29"/>
      <c r="H1" s="29"/>
      <c r="I1" s="29"/>
      <c r="J1" s="96"/>
    </row>
    <row r="2" spans="1:94" ht="15.75" customHeight="1" x14ac:dyDescent="0.3">
      <c r="A2" s="493" t="s">
        <v>77</v>
      </c>
      <c r="B2" s="493"/>
      <c r="C2" s="493"/>
      <c r="D2" s="493"/>
      <c r="E2" s="493"/>
      <c r="F2" s="493"/>
      <c r="G2" s="493"/>
      <c r="H2" s="398"/>
      <c r="I2" s="398"/>
      <c r="J2" s="147"/>
    </row>
    <row r="3" spans="1:94" ht="15.75" customHeight="1" x14ac:dyDescent="0.3">
      <c r="A3" s="375"/>
      <c r="B3" s="375"/>
      <c r="C3" s="375"/>
      <c r="D3" s="375"/>
      <c r="E3" s="375"/>
      <c r="F3" s="375"/>
      <c r="G3" s="375"/>
      <c r="H3" s="375"/>
      <c r="I3" s="375"/>
      <c r="J3" s="147"/>
    </row>
    <row r="4" spans="1:94" ht="15.6" x14ac:dyDescent="0.3">
      <c r="A4" s="371" t="s">
        <v>400</v>
      </c>
      <c r="B4" s="494" t="s">
        <v>602</v>
      </c>
      <c r="C4" s="494"/>
      <c r="D4" s="494"/>
      <c r="E4" s="494"/>
      <c r="F4" s="494"/>
      <c r="G4" s="494"/>
      <c r="H4" s="494"/>
      <c r="I4" s="494"/>
      <c r="J4" s="494"/>
    </row>
    <row r="5" spans="1:94" ht="15.75" customHeight="1" x14ac:dyDescent="0.3">
      <c r="A5" s="147" t="s">
        <v>401</v>
      </c>
      <c r="B5" s="495" t="s">
        <v>567</v>
      </c>
      <c r="C5" s="495"/>
      <c r="D5" s="495"/>
      <c r="E5" s="495"/>
      <c r="F5" s="495"/>
      <c r="G5" s="495"/>
      <c r="H5" s="400"/>
      <c r="I5" s="400"/>
      <c r="J5" s="147"/>
    </row>
    <row r="6" spans="1:94" ht="13.15" x14ac:dyDescent="0.3">
      <c r="F6" s="8"/>
      <c r="G6" s="18"/>
      <c r="H6" s="18"/>
      <c r="I6" s="18"/>
      <c r="J6" s="97"/>
    </row>
    <row r="7" spans="1:94" ht="15.75" customHeight="1" x14ac:dyDescent="0.3">
      <c r="A7" s="467" t="s">
        <v>0</v>
      </c>
      <c r="B7" s="468"/>
      <c r="C7" s="468"/>
      <c r="D7" s="468"/>
      <c r="E7" s="483"/>
      <c r="F7" s="469" t="s">
        <v>180</v>
      </c>
      <c r="G7" s="469"/>
      <c r="H7" s="496" t="s">
        <v>544</v>
      </c>
      <c r="I7" s="497"/>
      <c r="J7" s="98" t="s">
        <v>528</v>
      </c>
    </row>
    <row r="8" spans="1:94" x14ac:dyDescent="0.25">
      <c r="A8" s="149" t="s">
        <v>1</v>
      </c>
      <c r="B8" s="148" t="s">
        <v>2</v>
      </c>
      <c r="C8" s="41" t="s">
        <v>3</v>
      </c>
      <c r="D8" s="9" t="s">
        <v>4</v>
      </c>
      <c r="E8" s="41" t="s">
        <v>5</v>
      </c>
      <c r="F8" s="149" t="s">
        <v>6</v>
      </c>
      <c r="G8" s="19" t="s">
        <v>7</v>
      </c>
      <c r="H8" s="149" t="s">
        <v>6</v>
      </c>
      <c r="I8" s="19" t="s">
        <v>7</v>
      </c>
      <c r="J8" s="470"/>
    </row>
    <row r="9" spans="1:94" x14ac:dyDescent="0.25">
      <c r="A9" s="151" t="s">
        <v>8</v>
      </c>
      <c r="B9" s="20"/>
      <c r="C9" s="85"/>
      <c r="D9" s="151"/>
      <c r="E9" s="85"/>
      <c r="F9" s="151" t="s">
        <v>10</v>
      </c>
      <c r="G9" s="20" t="s">
        <v>10</v>
      </c>
      <c r="H9" s="151" t="s">
        <v>10</v>
      </c>
      <c r="I9" s="20" t="s">
        <v>10</v>
      </c>
      <c r="J9" s="470"/>
    </row>
    <row r="10" spans="1:94" s="28" customFormat="1" ht="52.9" x14ac:dyDescent="0.3">
      <c r="A10" s="9">
        <v>1</v>
      </c>
      <c r="B10" s="35" t="s">
        <v>11</v>
      </c>
      <c r="C10" s="317" t="s">
        <v>507</v>
      </c>
      <c r="D10" s="22">
        <v>1</v>
      </c>
      <c r="E10" s="114" t="s">
        <v>12</v>
      </c>
      <c r="F10" s="25">
        <v>743</v>
      </c>
      <c r="G10" s="315">
        <f>ROUND(D10*F10,2)</f>
        <v>743</v>
      </c>
      <c r="H10" s="315">
        <v>966</v>
      </c>
      <c r="I10" s="115">
        <f>D10*H10</f>
        <v>966</v>
      </c>
      <c r="J10" s="154" t="s">
        <v>545</v>
      </c>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row>
    <row r="11" spans="1:94" s="27" customFormat="1" ht="92.45" x14ac:dyDescent="0.3">
      <c r="A11" s="9"/>
      <c r="B11" s="42" t="s">
        <v>510</v>
      </c>
      <c r="C11" s="61" t="s">
        <v>508</v>
      </c>
      <c r="D11" s="43"/>
      <c r="E11" s="61"/>
      <c r="F11" s="44"/>
      <c r="G11" s="332"/>
      <c r="H11" s="44"/>
      <c r="I11" s="332"/>
      <c r="J11" s="99" t="s">
        <v>503</v>
      </c>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row>
    <row r="12" spans="1:94" ht="13.15" x14ac:dyDescent="0.3">
      <c r="A12" s="9"/>
      <c r="B12" s="45" t="s">
        <v>14</v>
      </c>
      <c r="C12" s="64">
        <v>1.3</v>
      </c>
      <c r="D12" s="46">
        <v>1</v>
      </c>
      <c r="E12" s="64" t="s">
        <v>12</v>
      </c>
      <c r="F12" s="47">
        <f>$F$10</f>
        <v>743</v>
      </c>
      <c r="G12" s="330">
        <f>ROUND(D12*F12,2)</f>
        <v>743</v>
      </c>
      <c r="H12" s="47">
        <f>$H$10</f>
        <v>966</v>
      </c>
      <c r="I12" s="330">
        <f>D12*H12</f>
        <v>966</v>
      </c>
      <c r="J12" s="100"/>
    </row>
    <row r="13" spans="1:94" ht="13.15" x14ac:dyDescent="0.3">
      <c r="A13" s="9"/>
      <c r="B13" s="45" t="s">
        <v>35</v>
      </c>
      <c r="C13" s="64">
        <v>1.3</v>
      </c>
      <c r="D13" s="46"/>
      <c r="E13" s="64" t="s">
        <v>12</v>
      </c>
      <c r="F13" s="47">
        <f>$F$10*2</f>
        <v>1486</v>
      </c>
      <c r="G13" s="330">
        <f>ROUND(D13*F13,2)</f>
        <v>0</v>
      </c>
      <c r="H13" s="47">
        <f>$H$10*2</f>
        <v>1932</v>
      </c>
      <c r="I13" s="330">
        <f>D13*H13</f>
        <v>0</v>
      </c>
      <c r="J13" s="100"/>
    </row>
    <row r="14" spans="1:94" s="16" customFormat="1" ht="13.15" x14ac:dyDescent="0.3">
      <c r="A14" s="9"/>
      <c r="B14" s="48" t="s">
        <v>111</v>
      </c>
      <c r="C14" s="66">
        <v>1.3</v>
      </c>
      <c r="D14" s="49"/>
      <c r="E14" s="66" t="s">
        <v>12</v>
      </c>
      <c r="F14" s="50">
        <f>$F$10*3</f>
        <v>2229</v>
      </c>
      <c r="G14" s="331">
        <f>ROUND(D14*F14,2)</f>
        <v>0</v>
      </c>
      <c r="H14" s="50">
        <f>$H$10*3</f>
        <v>2898</v>
      </c>
      <c r="I14" s="331">
        <f>D14*H14</f>
        <v>0</v>
      </c>
      <c r="J14" s="101"/>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row>
    <row r="15" spans="1:94" ht="51.75" customHeight="1" x14ac:dyDescent="0.3">
      <c r="A15" s="310"/>
      <c r="B15" s="116" t="s">
        <v>509</v>
      </c>
      <c r="C15" s="61">
        <v>1.5</v>
      </c>
      <c r="D15" s="53"/>
      <c r="E15" s="63"/>
      <c r="F15" s="54"/>
      <c r="G15" s="332"/>
      <c r="H15" s="408"/>
      <c r="I15" s="56"/>
      <c r="J15" s="99" t="s">
        <v>556</v>
      </c>
    </row>
    <row r="16" spans="1:94" ht="52.9" x14ac:dyDescent="0.3">
      <c r="A16" s="9"/>
      <c r="B16" s="77" t="s">
        <v>535</v>
      </c>
      <c r="C16" s="64" t="s">
        <v>22</v>
      </c>
      <c r="D16" s="424">
        <v>0.5</v>
      </c>
      <c r="E16" s="64" t="s">
        <v>69</v>
      </c>
      <c r="F16" s="47">
        <f>2*1000</f>
        <v>2000</v>
      </c>
      <c r="G16" s="330">
        <f>ROUND(D16*F16,2)</f>
        <v>1000</v>
      </c>
      <c r="H16" s="330">
        <f>2.6*1000</f>
        <v>2600</v>
      </c>
      <c r="I16" s="58">
        <f>D16*H16</f>
        <v>1300</v>
      </c>
      <c r="J16" s="165" t="s">
        <v>546</v>
      </c>
    </row>
    <row r="17" spans="1:94" s="16" customFormat="1" ht="39.6" x14ac:dyDescent="0.3">
      <c r="A17" s="9"/>
      <c r="B17" s="90" t="s">
        <v>447</v>
      </c>
      <c r="C17" s="66" t="s">
        <v>22</v>
      </c>
      <c r="D17" s="49"/>
      <c r="E17" s="66" t="s">
        <v>69</v>
      </c>
      <c r="F17" s="50">
        <f>2.5*1000</f>
        <v>2500</v>
      </c>
      <c r="G17" s="331">
        <f>ROUND(D17*F17,2)</f>
        <v>0</v>
      </c>
      <c r="H17" s="331">
        <f>3.25*1000</f>
        <v>3250</v>
      </c>
      <c r="I17" s="60">
        <f>D17*H17</f>
        <v>0</v>
      </c>
      <c r="J17" s="165" t="s">
        <v>547</v>
      </c>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row>
    <row r="18" spans="1:94" ht="13.15" x14ac:dyDescent="0.3">
      <c r="A18" s="9"/>
      <c r="B18" s="42" t="s">
        <v>511</v>
      </c>
      <c r="C18" s="61">
        <v>1.6</v>
      </c>
      <c r="D18" s="171"/>
      <c r="E18" s="61"/>
      <c r="F18" s="44"/>
      <c r="G18" s="332"/>
      <c r="H18" s="332"/>
      <c r="I18" s="56"/>
      <c r="J18" s="105"/>
    </row>
    <row r="19" spans="1:94" ht="52.9" x14ac:dyDescent="0.3">
      <c r="A19" s="9"/>
      <c r="B19" s="318" t="s">
        <v>536</v>
      </c>
      <c r="C19" s="313" t="s">
        <v>24</v>
      </c>
      <c r="D19" s="306">
        <f>D16</f>
        <v>0.5</v>
      </c>
      <c r="E19" s="313" t="s">
        <v>69</v>
      </c>
      <c r="F19" s="130">
        <f>ROUND($F$10/1.6,2)</f>
        <v>464.38</v>
      </c>
      <c r="G19" s="333">
        <f>ROUND(D19*F19,2)</f>
        <v>232.19</v>
      </c>
      <c r="H19" s="333">
        <f>$H$10/1.6</f>
        <v>603.75</v>
      </c>
      <c r="I19" s="82">
        <f>D19*H19</f>
        <v>301.875</v>
      </c>
      <c r="J19" s="401" t="s">
        <v>548</v>
      </c>
    </row>
    <row r="20" spans="1:94" ht="26.45" x14ac:dyDescent="0.3">
      <c r="A20" s="9"/>
      <c r="B20" s="13" t="s">
        <v>448</v>
      </c>
      <c r="C20" s="15" t="s">
        <v>24</v>
      </c>
      <c r="D20" s="80"/>
      <c r="E20" s="15" t="s">
        <v>69</v>
      </c>
      <c r="F20" s="1">
        <f>$F$10/1</f>
        <v>743</v>
      </c>
      <c r="G20" s="321">
        <f>ROUND(D20*F20,2)</f>
        <v>0</v>
      </c>
      <c r="H20" s="321">
        <f>$H$10/1</f>
        <v>966</v>
      </c>
      <c r="I20" s="161">
        <f>D20*H20</f>
        <v>0</v>
      </c>
      <c r="J20" s="168" t="s">
        <v>549</v>
      </c>
    </row>
    <row r="21" spans="1:94" ht="105.6" x14ac:dyDescent="0.3">
      <c r="A21" s="9"/>
      <c r="B21" s="319" t="s">
        <v>523</v>
      </c>
      <c r="C21" s="61">
        <v>1.4</v>
      </c>
      <c r="D21" s="205"/>
      <c r="E21" s="61"/>
      <c r="F21" s="44"/>
      <c r="G21" s="332"/>
      <c r="H21" s="332"/>
      <c r="I21" s="56"/>
      <c r="J21" s="99" t="s">
        <v>543</v>
      </c>
    </row>
    <row r="22" spans="1:94" ht="13.15" x14ac:dyDescent="0.3">
      <c r="A22" s="9"/>
      <c r="B22" s="409" t="s">
        <v>122</v>
      </c>
      <c r="C22" s="313" t="s">
        <v>16</v>
      </c>
      <c r="D22" s="410"/>
      <c r="E22" s="411"/>
      <c r="F22" s="130"/>
      <c r="G22" s="333"/>
      <c r="H22" s="333"/>
      <c r="I22" s="82"/>
      <c r="J22" s="412"/>
    </row>
    <row r="23" spans="1:94" x14ac:dyDescent="0.25">
      <c r="A23" s="9"/>
      <c r="B23" s="88" t="s">
        <v>123</v>
      </c>
      <c r="C23" s="64" t="s">
        <v>16</v>
      </c>
      <c r="D23" s="172">
        <v>1</v>
      </c>
      <c r="E23" s="86" t="s">
        <v>60</v>
      </c>
      <c r="F23" s="47">
        <v>2700</v>
      </c>
      <c r="G23" s="330">
        <f>ROUND(D23*F23,2)</f>
        <v>2700</v>
      </c>
      <c r="H23" s="47">
        <v>2700</v>
      </c>
      <c r="I23" s="58">
        <f>D23*H23</f>
        <v>2700</v>
      </c>
      <c r="J23" s="473" t="s">
        <v>490</v>
      </c>
    </row>
    <row r="24" spans="1:94" x14ac:dyDescent="0.25">
      <c r="A24" s="9"/>
      <c r="B24" s="88" t="s">
        <v>124</v>
      </c>
      <c r="C24" s="64" t="s">
        <v>16</v>
      </c>
      <c r="D24" s="46"/>
      <c r="E24" s="86" t="s">
        <v>60</v>
      </c>
      <c r="F24" s="47">
        <v>5400</v>
      </c>
      <c r="G24" s="330">
        <f>ROUND(D24*F24,2)</f>
        <v>0</v>
      </c>
      <c r="H24" s="47">
        <v>5400</v>
      </c>
      <c r="I24" s="58">
        <f>D24*H24</f>
        <v>0</v>
      </c>
      <c r="J24" s="474"/>
    </row>
    <row r="25" spans="1:94" x14ac:dyDescent="0.25">
      <c r="A25" s="9"/>
      <c r="B25" s="88" t="s">
        <v>116</v>
      </c>
      <c r="C25" s="64" t="s">
        <v>16</v>
      </c>
      <c r="D25" s="46"/>
      <c r="E25" s="86" t="s">
        <v>60</v>
      </c>
      <c r="F25" s="47">
        <v>8100</v>
      </c>
      <c r="G25" s="330">
        <f>ROUND(D25*F25,2)</f>
        <v>0</v>
      </c>
      <c r="H25" s="47">
        <v>8100</v>
      </c>
      <c r="I25" s="58">
        <f>D25*H25</f>
        <v>0</v>
      </c>
      <c r="J25" s="474"/>
    </row>
    <row r="26" spans="1:94" ht="13.15" x14ac:dyDescent="0.3">
      <c r="A26" s="9"/>
      <c r="B26" s="77" t="s">
        <v>125</v>
      </c>
      <c r="C26" s="64" t="s">
        <v>17</v>
      </c>
      <c r="D26" s="172">
        <v>1</v>
      </c>
      <c r="E26" s="86" t="s">
        <v>60</v>
      </c>
      <c r="F26" s="47">
        <v>4660</v>
      </c>
      <c r="G26" s="330">
        <f>ROUND(D26*F26,2)</f>
        <v>4660</v>
      </c>
      <c r="H26" s="330">
        <v>4660</v>
      </c>
      <c r="I26" s="58">
        <f t="shared" ref="I26:I27" si="0">D26*H26</f>
        <v>4660</v>
      </c>
      <c r="J26" s="100" t="s">
        <v>488</v>
      </c>
    </row>
    <row r="27" spans="1:94" ht="52.9" x14ac:dyDescent="0.3">
      <c r="A27" s="9"/>
      <c r="B27" s="77" t="s">
        <v>126</v>
      </c>
      <c r="C27" s="64" t="s">
        <v>18</v>
      </c>
      <c r="D27" s="172">
        <v>3</v>
      </c>
      <c r="E27" s="86" t="s">
        <v>60</v>
      </c>
      <c r="F27" s="47">
        <v>1970</v>
      </c>
      <c r="G27" s="50">
        <f>ROUND(D27*F27,2)</f>
        <v>5910</v>
      </c>
      <c r="H27" s="330">
        <v>1970</v>
      </c>
      <c r="I27" s="58">
        <f t="shared" si="0"/>
        <v>5910</v>
      </c>
      <c r="J27" s="165" t="s">
        <v>563</v>
      </c>
    </row>
    <row r="28" spans="1:94" s="27" customFormat="1" ht="13.15" x14ac:dyDescent="0.3">
      <c r="A28" s="9"/>
      <c r="B28" s="42" t="s">
        <v>512</v>
      </c>
      <c r="C28" s="61">
        <v>1.7</v>
      </c>
      <c r="D28" s="171"/>
      <c r="E28" s="61"/>
      <c r="F28" s="44"/>
      <c r="G28" s="332"/>
      <c r="H28" s="332"/>
      <c r="I28" s="56"/>
      <c r="J28" s="105"/>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row>
    <row r="29" spans="1:94" ht="39.6" x14ac:dyDescent="0.3">
      <c r="A29" s="9"/>
      <c r="B29" s="88" t="s">
        <v>482</v>
      </c>
      <c r="C29" s="64" t="s">
        <v>19</v>
      </c>
      <c r="D29" s="172">
        <v>1</v>
      </c>
      <c r="E29" s="64" t="s">
        <v>60</v>
      </c>
      <c r="F29" s="47">
        <f>ROUND($F$10/4,2)</f>
        <v>185.75</v>
      </c>
      <c r="G29" s="330">
        <f>ROUND(D29*F29,2)</f>
        <v>185.75</v>
      </c>
      <c r="H29" s="330">
        <f>$H$10/4</f>
        <v>241.5</v>
      </c>
      <c r="I29" s="58">
        <f t="shared" ref="I29:I30" si="1">D29*H29</f>
        <v>241.5</v>
      </c>
      <c r="J29" s="327" t="s">
        <v>504</v>
      </c>
    </row>
    <row r="30" spans="1:94" s="16" customFormat="1" ht="39.6" x14ac:dyDescent="0.3">
      <c r="A30" s="9"/>
      <c r="B30" s="89" t="s">
        <v>483</v>
      </c>
      <c r="C30" s="66" t="s">
        <v>19</v>
      </c>
      <c r="D30" s="52"/>
      <c r="E30" s="66" t="s">
        <v>60</v>
      </c>
      <c r="F30" s="50">
        <f>ROUND($F$10/2,2)</f>
        <v>371.5</v>
      </c>
      <c r="G30" s="331">
        <f>ROUND(D30*F30,2)</f>
        <v>0</v>
      </c>
      <c r="H30" s="331">
        <f>$H$10/2</f>
        <v>483</v>
      </c>
      <c r="I30" s="60">
        <f t="shared" si="1"/>
        <v>0</v>
      </c>
      <c r="J30" s="328" t="s">
        <v>505</v>
      </c>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row>
    <row r="31" spans="1:94" s="27" customFormat="1" ht="13.15" x14ac:dyDescent="0.3">
      <c r="A31" s="9"/>
      <c r="B31" s="92" t="s">
        <v>513</v>
      </c>
      <c r="C31" s="61">
        <v>1.8</v>
      </c>
      <c r="D31" s="83"/>
      <c r="E31" s="61"/>
      <c r="F31" s="83"/>
      <c r="G31" s="332"/>
      <c r="H31" s="413"/>
      <c r="I31" s="56"/>
      <c r="J31" s="99" t="s">
        <v>489</v>
      </c>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row>
    <row r="32" spans="1:94" ht="26.45" x14ac:dyDescent="0.3">
      <c r="A32" s="310"/>
      <c r="B32" s="91" t="s">
        <v>484</v>
      </c>
      <c r="C32" s="64" t="s">
        <v>107</v>
      </c>
      <c r="D32" s="45"/>
      <c r="E32" s="64" t="s">
        <v>12</v>
      </c>
      <c r="F32" s="47">
        <f>ROUND($F$10*1.25,2)</f>
        <v>928.75</v>
      </c>
      <c r="G32" s="330">
        <f>ROUND(D32*F32,2)</f>
        <v>0</v>
      </c>
      <c r="H32" s="330">
        <f>$H$10*1.25</f>
        <v>1207.5</v>
      </c>
      <c r="I32" s="58">
        <f>D32*H32</f>
        <v>0</v>
      </c>
      <c r="J32" s="165" t="s">
        <v>374</v>
      </c>
    </row>
    <row r="33" spans="1:94" ht="26.45" x14ac:dyDescent="0.3">
      <c r="A33" s="310"/>
      <c r="B33" s="91" t="s">
        <v>485</v>
      </c>
      <c r="C33" s="64" t="s">
        <v>108</v>
      </c>
      <c r="D33" s="45"/>
      <c r="E33" s="64" t="s">
        <v>12</v>
      </c>
      <c r="F33" s="47">
        <f>ROUND($F$10*1.5,2)</f>
        <v>1114.5</v>
      </c>
      <c r="G33" s="330">
        <f>ROUND(D33*F33,2)</f>
        <v>0</v>
      </c>
      <c r="H33" s="330">
        <f>$H$10*1.5</f>
        <v>1449</v>
      </c>
      <c r="I33" s="58">
        <f>D33*H33</f>
        <v>0</v>
      </c>
      <c r="J33" s="165" t="s">
        <v>375</v>
      </c>
    </row>
    <row r="34" spans="1:94" s="16" customFormat="1" ht="26.45" x14ac:dyDescent="0.3">
      <c r="A34" s="310"/>
      <c r="B34" s="117" t="s">
        <v>486</v>
      </c>
      <c r="C34" s="66" t="s">
        <v>109</v>
      </c>
      <c r="D34" s="48"/>
      <c r="E34" s="66" t="s">
        <v>12</v>
      </c>
      <c r="F34" s="50">
        <v>900</v>
      </c>
      <c r="G34" s="331">
        <f>ROUND(D34*F34,2)</f>
        <v>0</v>
      </c>
      <c r="H34" s="331">
        <v>900</v>
      </c>
      <c r="I34" s="60">
        <f>D34*H34</f>
        <v>0</v>
      </c>
      <c r="J34" s="174" t="s">
        <v>376</v>
      </c>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row>
    <row r="35" spans="1:94" s="27" customFormat="1" ht="13.15" x14ac:dyDescent="0.3">
      <c r="A35" s="310"/>
      <c r="B35" s="362" t="s">
        <v>353</v>
      </c>
      <c r="C35" s="61">
        <v>1.9</v>
      </c>
      <c r="D35" s="83"/>
      <c r="E35" s="61"/>
      <c r="F35" s="44"/>
      <c r="G35" s="332"/>
      <c r="H35" s="332"/>
      <c r="I35" s="56"/>
      <c r="J35" s="99"/>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row>
    <row r="36" spans="1:94" ht="39.6" x14ac:dyDescent="0.3">
      <c r="A36" s="310"/>
      <c r="B36" s="374" t="s">
        <v>450</v>
      </c>
      <c r="C36" s="66">
        <v>1.9</v>
      </c>
      <c r="D36" s="48"/>
      <c r="E36" s="66" t="s">
        <v>12</v>
      </c>
      <c r="F36" s="50">
        <f>ROUND($F$10*1.2,2)</f>
        <v>891.6</v>
      </c>
      <c r="G36" s="50">
        <f>D36*F36</f>
        <v>0</v>
      </c>
      <c r="H36" s="331">
        <f>$H$10*1.2</f>
        <v>1159.2</v>
      </c>
      <c r="I36" s="60">
        <f>D36*H36</f>
        <v>0</v>
      </c>
      <c r="J36" s="102" t="s">
        <v>404</v>
      </c>
    </row>
    <row r="37" spans="1:94" ht="132" customHeight="1" x14ac:dyDescent="0.3">
      <c r="A37" s="9"/>
      <c r="B37" s="368" t="s">
        <v>229</v>
      </c>
      <c r="C37" s="313">
        <v>1.1299999999999999</v>
      </c>
      <c r="D37" s="306"/>
      <c r="E37" s="313"/>
      <c r="F37" s="130"/>
      <c r="G37" s="333"/>
      <c r="H37" s="333"/>
      <c r="I37" s="333"/>
      <c r="J37" s="401" t="s">
        <v>552</v>
      </c>
    </row>
    <row r="38" spans="1:94" s="16" customFormat="1" ht="13.15" x14ac:dyDescent="0.3">
      <c r="A38" s="310"/>
      <c r="B38" s="3" t="s">
        <v>451</v>
      </c>
      <c r="C38" s="144">
        <v>1.1299999999999999</v>
      </c>
      <c r="D38" s="81"/>
      <c r="E38" s="17" t="s">
        <v>60</v>
      </c>
      <c r="F38" s="10">
        <v>400</v>
      </c>
      <c r="G38" s="14">
        <f>IF(D38=0,0,IF(D38*F38&lt;400,400,D38*F38))</f>
        <v>0</v>
      </c>
      <c r="H38" s="14">
        <v>20</v>
      </c>
      <c r="I38" s="14">
        <f>IF(D38=0,0,IF(D38*H38&lt;400,400,D38*H38))</f>
        <v>0</v>
      </c>
      <c r="J38" s="154" t="s">
        <v>566</v>
      </c>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row>
    <row r="39" spans="1:94" ht="104.25" customHeight="1" x14ac:dyDescent="0.3">
      <c r="A39" s="9"/>
      <c r="B39" s="116" t="s">
        <v>527</v>
      </c>
      <c r="C39" s="61">
        <v>10.15</v>
      </c>
      <c r="D39" s="171"/>
      <c r="E39" s="61"/>
      <c r="F39" s="44"/>
      <c r="G39" s="332"/>
      <c r="H39" s="332"/>
      <c r="I39" s="56"/>
      <c r="J39" s="99" t="s">
        <v>550</v>
      </c>
    </row>
    <row r="40" spans="1:94" ht="13.15" x14ac:dyDescent="0.3">
      <c r="A40" s="9"/>
      <c r="B40" s="77" t="s">
        <v>537</v>
      </c>
      <c r="C40" s="64">
        <v>10.15</v>
      </c>
      <c r="D40" s="172"/>
      <c r="E40" s="64" t="s">
        <v>69</v>
      </c>
      <c r="F40" s="47">
        <f>$F$10*1</f>
        <v>743</v>
      </c>
      <c r="G40" s="330">
        <f>ROUND(D40*F40,2)</f>
        <v>0</v>
      </c>
      <c r="H40" s="330">
        <f>$H$10*1</f>
        <v>966</v>
      </c>
      <c r="I40" s="58">
        <f>D40*H40</f>
        <v>0</v>
      </c>
      <c r="J40" s="100" t="s">
        <v>492</v>
      </c>
    </row>
    <row r="41" spans="1:94" ht="13.15" x14ac:dyDescent="0.3">
      <c r="A41" s="9"/>
      <c r="B41" s="77" t="s">
        <v>487</v>
      </c>
      <c r="C41" s="64">
        <v>10.15</v>
      </c>
      <c r="D41" s="172"/>
      <c r="E41" s="64" t="s">
        <v>69</v>
      </c>
      <c r="F41" s="47">
        <f>$F$10*1.25</f>
        <v>928.75</v>
      </c>
      <c r="G41" s="330">
        <f>ROUND(D41*F41,2)</f>
        <v>0</v>
      </c>
      <c r="H41" s="330">
        <f>$H$10*1.25</f>
        <v>1207.5</v>
      </c>
      <c r="I41" s="58">
        <f>D41*H41</f>
        <v>0</v>
      </c>
      <c r="J41" s="100"/>
    </row>
    <row r="42" spans="1:94" s="12" customFormat="1" x14ac:dyDescent="0.25">
      <c r="A42" s="322"/>
      <c r="B42" s="119" t="s">
        <v>312</v>
      </c>
      <c r="C42" s="323"/>
      <c r="D42" s="324"/>
      <c r="E42" s="324"/>
      <c r="F42" s="35"/>
      <c r="G42" s="32">
        <f>SUM(G10:G41)</f>
        <v>16173.94</v>
      </c>
      <c r="H42" s="38"/>
      <c r="I42" s="32">
        <f>SUM(I10:I41)</f>
        <v>17045.375</v>
      </c>
      <c r="J42" s="325"/>
    </row>
    <row r="43" spans="1:94" s="12" customFormat="1" x14ac:dyDescent="0.25">
      <c r="A43" s="310"/>
      <c r="B43" s="122"/>
      <c r="C43" s="376"/>
      <c r="D43" s="85"/>
      <c r="E43" s="85"/>
      <c r="F43" s="11"/>
      <c r="G43" s="329"/>
      <c r="H43" s="329"/>
      <c r="I43" s="392"/>
      <c r="J43" s="342"/>
    </row>
    <row r="44" spans="1:94" x14ac:dyDescent="0.25">
      <c r="A44" s="149">
        <v>2</v>
      </c>
      <c r="B44" s="122" t="s">
        <v>562</v>
      </c>
      <c r="C44" s="85"/>
      <c r="D44" s="151"/>
      <c r="E44" s="85"/>
      <c r="F44" s="151"/>
      <c r="G44" s="20"/>
      <c r="H44" s="20"/>
      <c r="I44" s="85"/>
      <c r="J44" s="153"/>
    </row>
    <row r="45" spans="1:94" ht="36" customHeight="1" x14ac:dyDescent="0.25">
      <c r="A45" s="9"/>
      <c r="B45" s="362" t="s">
        <v>514</v>
      </c>
      <c r="C45" s="61">
        <v>4.9000000000000004</v>
      </c>
      <c r="D45" s="43"/>
      <c r="E45" s="61"/>
      <c r="F45" s="54"/>
      <c r="G45" s="332"/>
      <c r="H45" s="408"/>
      <c r="I45" s="56"/>
      <c r="J45" s="99" t="s">
        <v>551</v>
      </c>
    </row>
    <row r="46" spans="1:94" x14ac:dyDescent="0.25">
      <c r="A46" s="9"/>
      <c r="B46" s="352" t="s">
        <v>538</v>
      </c>
      <c r="C46" s="313">
        <v>4.9000000000000004</v>
      </c>
      <c r="D46" s="306">
        <f>(600*100)/10000</f>
        <v>6</v>
      </c>
      <c r="E46" s="313" t="s">
        <v>119</v>
      </c>
      <c r="F46" s="130">
        <f>ROUND($F$10/2,2)</f>
        <v>371.5</v>
      </c>
      <c r="G46" s="333">
        <f>ROUND(D46*F46,2)</f>
        <v>2229</v>
      </c>
      <c r="H46" s="333">
        <f>$H$10/2</f>
        <v>483</v>
      </c>
      <c r="I46" s="82">
        <f>D46*H46</f>
        <v>2898</v>
      </c>
      <c r="J46" s="353" t="s">
        <v>188</v>
      </c>
    </row>
    <row r="47" spans="1:94" x14ac:dyDescent="0.25">
      <c r="A47" s="9"/>
      <c r="B47" s="88" t="s">
        <v>466</v>
      </c>
      <c r="C47" s="64">
        <v>4.9000000000000004</v>
      </c>
      <c r="D47" s="46"/>
      <c r="E47" s="64" t="s">
        <v>119</v>
      </c>
      <c r="F47" s="47">
        <f>ROUND($F$10/1.5,2)</f>
        <v>495.33</v>
      </c>
      <c r="G47" s="330">
        <f>ROUND(D47*F47,2)</f>
        <v>0</v>
      </c>
      <c r="H47" s="330">
        <f>$H$10/1.5</f>
        <v>644</v>
      </c>
      <c r="I47" s="58">
        <f t="shared" ref="I47:I48" si="2">D47*H47</f>
        <v>0</v>
      </c>
      <c r="J47" s="100" t="s">
        <v>189</v>
      </c>
    </row>
    <row r="48" spans="1:94" ht="37.5" customHeight="1" x14ac:dyDescent="0.25">
      <c r="A48" s="9"/>
      <c r="B48" s="373" t="s">
        <v>467</v>
      </c>
      <c r="C48" s="84">
        <v>4.9000000000000004</v>
      </c>
      <c r="D48" s="320"/>
      <c r="E48" s="84" t="s">
        <v>119</v>
      </c>
      <c r="F48" s="211">
        <f>$F$10/1</f>
        <v>743</v>
      </c>
      <c r="G48" s="334">
        <f>ROUND(D48*F48,2)</f>
        <v>0</v>
      </c>
      <c r="H48" s="334">
        <f>$H$10/1</f>
        <v>966</v>
      </c>
      <c r="I48" s="212">
        <f t="shared" si="2"/>
        <v>0</v>
      </c>
      <c r="J48" s="106" t="s">
        <v>190</v>
      </c>
    </row>
    <row r="49" spans="1:10" ht="63.75" x14ac:dyDescent="0.25">
      <c r="A49" s="9"/>
      <c r="B49" s="308" t="s">
        <v>410</v>
      </c>
      <c r="C49" s="17"/>
      <c r="D49" s="223"/>
      <c r="E49" s="17" t="s">
        <v>137</v>
      </c>
      <c r="F49" s="10">
        <v>3.5</v>
      </c>
      <c r="G49" s="14">
        <f>ROUND(D49*F49,2)</f>
        <v>0</v>
      </c>
      <c r="H49" s="14">
        <v>3.5</v>
      </c>
      <c r="I49" s="163">
        <f>D49*H49</f>
        <v>0</v>
      </c>
      <c r="J49" s="154" t="s">
        <v>347</v>
      </c>
    </row>
    <row r="50" spans="1:10" x14ac:dyDescent="0.25">
      <c r="A50" s="322"/>
      <c r="B50" s="119" t="s">
        <v>311</v>
      </c>
      <c r="C50" s="314"/>
      <c r="D50" s="114"/>
      <c r="E50" s="114"/>
      <c r="F50" s="315"/>
      <c r="G50" s="32">
        <f>SUM(G45:G49)</f>
        <v>2229</v>
      </c>
      <c r="H50" s="315"/>
      <c r="I50" s="32">
        <f>SUM(I45:I49)</f>
        <v>2898</v>
      </c>
      <c r="J50" s="120"/>
    </row>
    <row r="51" spans="1:10" x14ac:dyDescent="0.25">
      <c r="A51" s="341"/>
      <c r="B51" s="33"/>
      <c r="C51" s="114"/>
      <c r="D51" s="114"/>
      <c r="E51" s="114"/>
      <c r="F51" s="115"/>
      <c r="G51" s="315"/>
      <c r="H51" s="115"/>
      <c r="I51" s="115"/>
      <c r="J51" s="414"/>
    </row>
    <row r="52" spans="1:10" ht="25.5" x14ac:dyDescent="0.25">
      <c r="A52" s="9">
        <v>3</v>
      </c>
      <c r="B52" s="395" t="s">
        <v>553</v>
      </c>
      <c r="C52" s="345"/>
      <c r="D52" s="345"/>
      <c r="E52" s="345"/>
      <c r="F52" s="345"/>
      <c r="G52" s="345"/>
      <c r="H52" s="393"/>
      <c r="I52" s="345"/>
      <c r="J52" s="399"/>
    </row>
    <row r="53" spans="1:10" ht="65.099999999999994" customHeight="1" x14ac:dyDescent="0.25">
      <c r="A53" s="9"/>
      <c r="B53" s="363" t="s">
        <v>228</v>
      </c>
      <c r="C53" s="55" t="s">
        <v>251</v>
      </c>
      <c r="D53" s="43"/>
      <c r="E53" s="61"/>
      <c r="F53" s="43"/>
      <c r="G53" s="76"/>
      <c r="H53" s="76"/>
      <c r="I53" s="43"/>
      <c r="J53" s="99" t="s">
        <v>564</v>
      </c>
    </row>
    <row r="54" spans="1:10" x14ac:dyDescent="0.25">
      <c r="A54" s="9"/>
      <c r="B54" s="364" t="s">
        <v>80</v>
      </c>
      <c r="C54" s="286" t="s">
        <v>79</v>
      </c>
      <c r="D54" s="46"/>
      <c r="E54" s="64"/>
      <c r="F54" s="46"/>
      <c r="G54" s="73"/>
      <c r="H54" s="73"/>
      <c r="I54" s="46"/>
      <c r="J54" s="365"/>
    </row>
    <row r="55" spans="1:10" x14ac:dyDescent="0.25">
      <c r="A55" s="9"/>
      <c r="B55" s="318" t="s">
        <v>536</v>
      </c>
      <c r="C55" s="313"/>
      <c r="D55" s="306"/>
      <c r="E55" s="313"/>
      <c r="F55" s="130"/>
      <c r="G55" s="333"/>
      <c r="H55" s="333"/>
      <c r="I55" s="130"/>
      <c r="J55" s="401"/>
    </row>
    <row r="56" spans="1:10" x14ac:dyDescent="0.25">
      <c r="A56" s="9"/>
      <c r="B56" s="51" t="s">
        <v>452</v>
      </c>
      <c r="C56" s="64"/>
      <c r="D56" s="46"/>
      <c r="E56" s="46" t="s">
        <v>119</v>
      </c>
      <c r="F56" s="47">
        <f>ROUND($F$10/1.25,2)</f>
        <v>594.4</v>
      </c>
      <c r="G56" s="330">
        <f>ROUND(D56*F56,2)</f>
        <v>0</v>
      </c>
      <c r="H56" s="330">
        <f>$H$10/1.25</f>
        <v>772.8</v>
      </c>
      <c r="I56" s="47">
        <f>D56*H56</f>
        <v>0</v>
      </c>
      <c r="J56" s="165" t="s">
        <v>497</v>
      </c>
    </row>
    <row r="57" spans="1:10" x14ac:dyDescent="0.25">
      <c r="A57" s="9"/>
      <c r="B57" s="51" t="s">
        <v>453</v>
      </c>
      <c r="C57" s="64"/>
      <c r="D57" s="46"/>
      <c r="E57" s="46" t="s">
        <v>119</v>
      </c>
      <c r="F57" s="47">
        <f>ROUND($F$10/1.5,2)</f>
        <v>495.33</v>
      </c>
      <c r="G57" s="330">
        <f>ROUND(D57*F57,2)</f>
        <v>0</v>
      </c>
      <c r="H57" s="330">
        <f>$H$10/1.5</f>
        <v>644</v>
      </c>
      <c r="I57" s="47">
        <f t="shared" ref="I57:I58" si="3">D57*H57</f>
        <v>0</v>
      </c>
      <c r="J57" s="165" t="s">
        <v>565</v>
      </c>
    </row>
    <row r="58" spans="1:10" x14ac:dyDescent="0.25">
      <c r="A58" s="9"/>
      <c r="B58" s="51" t="s">
        <v>454</v>
      </c>
      <c r="C58" s="64"/>
      <c r="D58" s="46"/>
      <c r="E58" s="46" t="s">
        <v>119</v>
      </c>
      <c r="F58" s="47">
        <f>ROUND($F$10/1.75,2)</f>
        <v>424.57</v>
      </c>
      <c r="G58" s="330">
        <f>ROUND(D58*F58,2)</f>
        <v>0</v>
      </c>
      <c r="H58" s="330">
        <f>$H$10/1.75</f>
        <v>552</v>
      </c>
      <c r="I58" s="47">
        <f t="shared" si="3"/>
        <v>0</v>
      </c>
      <c r="J58" s="165"/>
    </row>
    <row r="59" spans="1:10" x14ac:dyDescent="0.25">
      <c r="A59" s="9"/>
      <c r="B59" s="51" t="s">
        <v>255</v>
      </c>
      <c r="C59" s="64"/>
      <c r="D59" s="46"/>
      <c r="E59" s="46"/>
      <c r="F59" s="47"/>
      <c r="G59" s="330"/>
      <c r="H59" s="330"/>
      <c r="I59" s="47"/>
      <c r="J59" s="100"/>
    </row>
    <row r="60" spans="1:10" x14ac:dyDescent="0.25">
      <c r="A60" s="9"/>
      <c r="B60" s="51" t="s">
        <v>455</v>
      </c>
      <c r="C60" s="64"/>
      <c r="D60" s="46"/>
      <c r="E60" s="46" t="s">
        <v>119</v>
      </c>
      <c r="F60" s="47">
        <f>ROUND($F$10/0.75,2)</f>
        <v>990.67</v>
      </c>
      <c r="G60" s="330">
        <f>ROUND(D60*F60,2)</f>
        <v>0</v>
      </c>
      <c r="H60" s="330">
        <f>$H$10/0.75</f>
        <v>1288</v>
      </c>
      <c r="I60" s="47">
        <f t="shared" ref="I60:I61" si="4">D60*H60</f>
        <v>0</v>
      </c>
      <c r="J60" s="165" t="s">
        <v>497</v>
      </c>
    </row>
    <row r="61" spans="1:10" x14ac:dyDescent="0.25">
      <c r="A61" s="9"/>
      <c r="B61" s="51" t="s">
        <v>456</v>
      </c>
      <c r="C61" s="64"/>
      <c r="D61" s="46"/>
      <c r="E61" s="46" t="s">
        <v>119</v>
      </c>
      <c r="F61" s="47">
        <f>ROUND(F$10/1,2)</f>
        <v>743</v>
      </c>
      <c r="G61" s="330">
        <f>ROUND(D61*F61,2)</f>
        <v>0</v>
      </c>
      <c r="H61" s="330">
        <f>$H$10/1</f>
        <v>966</v>
      </c>
      <c r="I61" s="47">
        <f t="shared" si="4"/>
        <v>0</v>
      </c>
      <c r="J61" s="165"/>
    </row>
    <row r="62" spans="1:10" x14ac:dyDescent="0.25">
      <c r="A62" s="9"/>
      <c r="B62" s="51" t="s">
        <v>256</v>
      </c>
      <c r="C62" s="64"/>
      <c r="D62" s="46"/>
      <c r="E62" s="46"/>
      <c r="F62" s="47"/>
      <c r="G62" s="330"/>
      <c r="H62" s="330"/>
      <c r="I62" s="47"/>
      <c r="J62" s="100"/>
    </row>
    <row r="63" spans="1:10" x14ac:dyDescent="0.25">
      <c r="A63" s="9"/>
      <c r="B63" s="51" t="s">
        <v>452</v>
      </c>
      <c r="C63" s="64"/>
      <c r="D63" s="46"/>
      <c r="E63" s="46" t="s">
        <v>119</v>
      </c>
      <c r="F63" s="47">
        <f>$F$10/1</f>
        <v>743</v>
      </c>
      <c r="G63" s="330">
        <f>ROUND(D63*F63,2)</f>
        <v>0</v>
      </c>
      <c r="H63" s="330">
        <f>$H$10/1</f>
        <v>966</v>
      </c>
      <c r="I63" s="47">
        <f>D63*H63</f>
        <v>0</v>
      </c>
      <c r="J63" s="165" t="s">
        <v>497</v>
      </c>
    </row>
    <row r="64" spans="1:10" x14ac:dyDescent="0.25">
      <c r="A64" s="9"/>
      <c r="B64" s="51" t="s">
        <v>453</v>
      </c>
      <c r="C64" s="64"/>
      <c r="D64" s="46"/>
      <c r="E64" s="46" t="s">
        <v>119</v>
      </c>
      <c r="F64" s="47">
        <f>ROUND($F$10/1.25,2)</f>
        <v>594.4</v>
      </c>
      <c r="G64" s="330">
        <f>ROUND(D64*F64,2)</f>
        <v>0</v>
      </c>
      <c r="H64" s="330">
        <f>$H$10/1.25</f>
        <v>772.8</v>
      </c>
      <c r="I64" s="47">
        <f t="shared" ref="I64:I65" si="5">D64*H64</f>
        <v>0</v>
      </c>
      <c r="J64" s="165" t="s">
        <v>565</v>
      </c>
    </row>
    <row r="65" spans="1:10" x14ac:dyDescent="0.25">
      <c r="A65" s="9"/>
      <c r="B65" s="51" t="s">
        <v>454</v>
      </c>
      <c r="C65" s="64"/>
      <c r="D65" s="46"/>
      <c r="E65" s="46" t="s">
        <v>119</v>
      </c>
      <c r="F65" s="47">
        <f>ROUND($F$10/1.5,2)</f>
        <v>495.33</v>
      </c>
      <c r="G65" s="330">
        <f>ROUND(D65*F65,2)</f>
        <v>0</v>
      </c>
      <c r="H65" s="330">
        <f>$H$10/1.5</f>
        <v>644</v>
      </c>
      <c r="I65" s="47">
        <f t="shared" si="5"/>
        <v>0</v>
      </c>
      <c r="J65" s="165"/>
    </row>
    <row r="66" spans="1:10" x14ac:dyDescent="0.25">
      <c r="A66" s="9"/>
      <c r="B66" s="364" t="s">
        <v>268</v>
      </c>
      <c r="C66" s="64" t="s">
        <v>81</v>
      </c>
      <c r="D66" s="46"/>
      <c r="E66" s="46"/>
      <c r="F66" s="47"/>
      <c r="G66" s="330"/>
      <c r="H66" s="330"/>
      <c r="I66" s="47"/>
      <c r="J66" s="165" t="s">
        <v>498</v>
      </c>
    </row>
    <row r="67" spans="1:10" x14ac:dyDescent="0.25">
      <c r="A67" s="9"/>
      <c r="B67" s="51" t="s">
        <v>405</v>
      </c>
      <c r="C67" s="46"/>
      <c r="D67" s="46"/>
      <c r="E67" s="46"/>
      <c r="F67" s="47"/>
      <c r="G67" s="47"/>
      <c r="H67" s="330"/>
      <c r="I67" s="47"/>
      <c r="J67" s="51"/>
    </row>
    <row r="68" spans="1:10" x14ac:dyDescent="0.25">
      <c r="A68" s="9"/>
      <c r="B68" s="45" t="s">
        <v>457</v>
      </c>
      <c r="C68" s="46"/>
      <c r="D68" s="46"/>
      <c r="E68" s="51"/>
      <c r="F68" s="47"/>
      <c r="G68" s="47"/>
      <c r="H68" s="330"/>
      <c r="I68" s="47"/>
      <c r="J68" s="165"/>
    </row>
    <row r="69" spans="1:10" x14ac:dyDescent="0.25">
      <c r="A69" s="9"/>
      <c r="B69" s="45" t="s">
        <v>299</v>
      </c>
      <c r="C69" s="46"/>
      <c r="D69" s="46"/>
      <c r="E69" s="46" t="s">
        <v>69</v>
      </c>
      <c r="F69" s="47">
        <f>ROUND($F$10*5,2)</f>
        <v>3715</v>
      </c>
      <c r="G69" s="47">
        <f>ROUND(D69*F69,2)</f>
        <v>0</v>
      </c>
      <c r="H69" s="330">
        <f>$H$10*5</f>
        <v>4830</v>
      </c>
      <c r="I69" s="47">
        <f>D69*H69</f>
        <v>0</v>
      </c>
      <c r="J69" s="165" t="s">
        <v>499</v>
      </c>
    </row>
    <row r="70" spans="1:10" x14ac:dyDescent="0.25">
      <c r="A70" s="9"/>
      <c r="B70" s="45" t="s">
        <v>300</v>
      </c>
      <c r="C70" s="46"/>
      <c r="D70" s="46"/>
      <c r="E70" s="46" t="s">
        <v>69</v>
      </c>
      <c r="F70" s="47">
        <f>ROUND($F$10*2.5,2)</f>
        <v>1857.5</v>
      </c>
      <c r="G70" s="47">
        <f>ROUND(D70*F70,2)</f>
        <v>0</v>
      </c>
      <c r="H70" s="330">
        <f>$H$10*2.5</f>
        <v>2415</v>
      </c>
      <c r="I70" s="47">
        <f>D70*H70</f>
        <v>0</v>
      </c>
      <c r="J70" s="165"/>
    </row>
    <row r="71" spans="1:10" x14ac:dyDescent="0.25">
      <c r="A71" s="9"/>
      <c r="B71" s="45" t="s">
        <v>458</v>
      </c>
      <c r="C71" s="46"/>
      <c r="D71" s="46"/>
      <c r="E71" s="46"/>
      <c r="F71" s="47"/>
      <c r="G71" s="47"/>
      <c r="H71" s="330"/>
      <c r="I71" s="47"/>
      <c r="J71" s="165"/>
    </row>
    <row r="72" spans="1:10" x14ac:dyDescent="0.25">
      <c r="A72" s="9"/>
      <c r="B72" s="45" t="s">
        <v>299</v>
      </c>
      <c r="C72" s="46"/>
      <c r="D72" s="46"/>
      <c r="E72" s="46" t="s">
        <v>69</v>
      </c>
      <c r="F72" s="47">
        <f>ROUND($F$10*2.5,2)</f>
        <v>1857.5</v>
      </c>
      <c r="G72" s="47">
        <f>ROUND(D72*F72,2)</f>
        <v>0</v>
      </c>
      <c r="H72" s="330">
        <f>$H$10*2.5</f>
        <v>2415</v>
      </c>
      <c r="I72" s="47">
        <f>D72*H72</f>
        <v>0</v>
      </c>
      <c r="J72" s="165"/>
    </row>
    <row r="73" spans="1:10" x14ac:dyDescent="0.25">
      <c r="A73" s="9"/>
      <c r="B73" s="45" t="s">
        <v>300</v>
      </c>
      <c r="C73" s="46"/>
      <c r="D73" s="46"/>
      <c r="E73" s="46" t="s">
        <v>69</v>
      </c>
      <c r="F73" s="47">
        <f>ROUND($F$10*1.25,2)</f>
        <v>928.75</v>
      </c>
      <c r="G73" s="47">
        <f>ROUND(D73*F73,2)</f>
        <v>0</v>
      </c>
      <c r="H73" s="330">
        <f>$H$10*1.25</f>
        <v>1207.5</v>
      </c>
      <c r="I73" s="47">
        <f>D73*H73</f>
        <v>0</v>
      </c>
      <c r="J73" s="165"/>
    </row>
    <row r="74" spans="1:10" x14ac:dyDescent="0.25">
      <c r="A74" s="9"/>
      <c r="B74" s="51" t="s">
        <v>274</v>
      </c>
      <c r="C74" s="46"/>
      <c r="D74" s="46"/>
      <c r="E74" s="46"/>
      <c r="F74" s="47"/>
      <c r="G74" s="47"/>
      <c r="H74" s="330"/>
      <c r="I74" s="47"/>
      <c r="J74" s="165"/>
    </row>
    <row r="75" spans="1:10" x14ac:dyDescent="0.25">
      <c r="A75" s="9"/>
      <c r="B75" s="45" t="s">
        <v>457</v>
      </c>
      <c r="C75" s="46"/>
      <c r="D75" s="46"/>
      <c r="E75" s="46"/>
      <c r="F75" s="47"/>
      <c r="G75" s="47"/>
      <c r="H75" s="330"/>
      <c r="I75" s="47"/>
      <c r="J75" s="165"/>
    </row>
    <row r="76" spans="1:10" x14ac:dyDescent="0.25">
      <c r="A76" s="9"/>
      <c r="B76" s="45" t="s">
        <v>299</v>
      </c>
      <c r="C76" s="46"/>
      <c r="D76" s="46"/>
      <c r="E76" s="46" t="s">
        <v>69</v>
      </c>
      <c r="F76" s="47">
        <f>ROUND($F$10*6,2)</f>
        <v>4458</v>
      </c>
      <c r="G76" s="47">
        <f>ROUND(D76*F76,2)</f>
        <v>0</v>
      </c>
      <c r="H76" s="330">
        <f>$H$10*6</f>
        <v>5796</v>
      </c>
      <c r="I76" s="47">
        <f>D76*H76</f>
        <v>0</v>
      </c>
      <c r="J76" s="165" t="s">
        <v>499</v>
      </c>
    </row>
    <row r="77" spans="1:10" x14ac:dyDescent="0.25">
      <c r="A77" s="9"/>
      <c r="B77" s="45" t="s">
        <v>300</v>
      </c>
      <c r="C77" s="46"/>
      <c r="D77" s="46"/>
      <c r="E77" s="46" t="s">
        <v>69</v>
      </c>
      <c r="F77" s="47">
        <f>ROUND($F$10*3,2)</f>
        <v>2229</v>
      </c>
      <c r="G77" s="47">
        <f>ROUND(D77*F77,2)</f>
        <v>0</v>
      </c>
      <c r="H77" s="330">
        <f>$H$10*3</f>
        <v>2898</v>
      </c>
      <c r="I77" s="47">
        <f>D77*H77</f>
        <v>0</v>
      </c>
      <c r="J77" s="165"/>
    </row>
    <row r="78" spans="1:10" x14ac:dyDescent="0.25">
      <c r="A78" s="9"/>
      <c r="B78" s="45" t="s">
        <v>458</v>
      </c>
      <c r="C78" s="46"/>
      <c r="D78" s="46"/>
      <c r="E78" s="51"/>
      <c r="F78" s="47"/>
      <c r="G78" s="47"/>
      <c r="H78" s="330"/>
      <c r="I78" s="47"/>
      <c r="J78" s="165"/>
    </row>
    <row r="79" spans="1:10" x14ac:dyDescent="0.25">
      <c r="A79" s="9"/>
      <c r="B79" s="45" t="s">
        <v>271</v>
      </c>
      <c r="C79" s="46"/>
      <c r="D79" s="46"/>
      <c r="E79" s="46" t="s">
        <v>69</v>
      </c>
      <c r="F79" s="47">
        <f>ROUND($F$10*3,2)</f>
        <v>2229</v>
      </c>
      <c r="G79" s="47">
        <f>ROUND(D79*F79,2)</f>
        <v>0</v>
      </c>
      <c r="H79" s="330">
        <f>$H$10*3</f>
        <v>2898</v>
      </c>
      <c r="I79" s="47">
        <f>D79*H79</f>
        <v>0</v>
      </c>
      <c r="J79" s="165"/>
    </row>
    <row r="80" spans="1:10" x14ac:dyDescent="0.25">
      <c r="A80" s="9"/>
      <c r="B80" s="45" t="s">
        <v>272</v>
      </c>
      <c r="C80" s="46"/>
      <c r="D80" s="46"/>
      <c r="E80" s="46" t="s">
        <v>69</v>
      </c>
      <c r="F80" s="47">
        <f>ROUND($F$10*1.5,2)</f>
        <v>1114.5</v>
      </c>
      <c r="G80" s="47">
        <f>ROUND(D80*F80,2)</f>
        <v>0</v>
      </c>
      <c r="H80" s="330">
        <f>$H$10*1.5</f>
        <v>1449</v>
      </c>
      <c r="I80" s="47">
        <f>D80*H80</f>
        <v>0</v>
      </c>
      <c r="J80" s="165"/>
    </row>
    <row r="81" spans="1:94" x14ac:dyDescent="0.25">
      <c r="A81" s="9"/>
      <c r="B81" s="51" t="s">
        <v>406</v>
      </c>
      <c r="C81" s="46"/>
      <c r="D81" s="46"/>
      <c r="E81" s="51"/>
      <c r="F81" s="47"/>
      <c r="G81" s="47"/>
      <c r="H81" s="330"/>
      <c r="I81" s="47"/>
      <c r="J81" s="165"/>
    </row>
    <row r="82" spans="1:94" x14ac:dyDescent="0.25">
      <c r="A82" s="9"/>
      <c r="B82" s="45" t="s">
        <v>457</v>
      </c>
      <c r="C82" s="46"/>
      <c r="D82" s="46"/>
      <c r="E82" s="51"/>
      <c r="F82" s="47"/>
      <c r="G82" s="47"/>
      <c r="H82" s="330"/>
      <c r="I82" s="47"/>
      <c r="J82" s="165"/>
    </row>
    <row r="83" spans="1:94" x14ac:dyDescent="0.25">
      <c r="A83" s="9"/>
      <c r="B83" s="45" t="s">
        <v>271</v>
      </c>
      <c r="C83" s="46"/>
      <c r="D83" s="46"/>
      <c r="E83" s="46" t="s">
        <v>69</v>
      </c>
      <c r="F83" s="47">
        <f>ROUND($F$10*4,2)</f>
        <v>2972</v>
      </c>
      <c r="G83" s="47">
        <f>ROUND(D83*F83,2)</f>
        <v>0</v>
      </c>
      <c r="H83" s="330">
        <f>$H$10*4</f>
        <v>3864</v>
      </c>
      <c r="I83" s="47">
        <f>D83*H83</f>
        <v>0</v>
      </c>
      <c r="J83" s="165" t="s">
        <v>499</v>
      </c>
    </row>
    <row r="84" spans="1:94" x14ac:dyDescent="0.25">
      <c r="A84" s="9"/>
      <c r="B84" s="45" t="s">
        <v>272</v>
      </c>
      <c r="C84" s="46"/>
      <c r="D84" s="46"/>
      <c r="E84" s="46" t="s">
        <v>69</v>
      </c>
      <c r="F84" s="47">
        <f>ROUND($F$10*2,2)</f>
        <v>1486</v>
      </c>
      <c r="G84" s="47">
        <f>ROUND(D84*F84,2)</f>
        <v>0</v>
      </c>
      <c r="H84" s="330">
        <f>$H$10*2</f>
        <v>1932</v>
      </c>
      <c r="I84" s="47">
        <f>D84*H84</f>
        <v>0</v>
      </c>
      <c r="J84" s="165"/>
    </row>
    <row r="85" spans="1:94" x14ac:dyDescent="0.25">
      <c r="A85" s="9"/>
      <c r="B85" s="45" t="s">
        <v>458</v>
      </c>
      <c r="C85" s="46"/>
      <c r="D85" s="46"/>
      <c r="E85" s="51"/>
      <c r="F85" s="47"/>
      <c r="G85" s="47"/>
      <c r="H85" s="330"/>
      <c r="I85" s="47"/>
      <c r="J85" s="165"/>
    </row>
    <row r="86" spans="1:94" x14ac:dyDescent="0.25">
      <c r="A86" s="9"/>
      <c r="B86" s="45" t="s">
        <v>271</v>
      </c>
      <c r="C86" s="46"/>
      <c r="D86" s="46"/>
      <c r="E86" s="46" t="s">
        <v>69</v>
      </c>
      <c r="F86" s="47">
        <f>$F$10*2</f>
        <v>1486</v>
      </c>
      <c r="G86" s="47">
        <f>ROUND(D86*F86,2)</f>
        <v>0</v>
      </c>
      <c r="H86" s="330">
        <f>$H$10*2</f>
        <v>1932</v>
      </c>
      <c r="I86" s="47">
        <f>D86*H86</f>
        <v>0</v>
      </c>
      <c r="J86" s="165"/>
    </row>
    <row r="87" spans="1:94" x14ac:dyDescent="0.25">
      <c r="A87" s="9"/>
      <c r="B87" s="45" t="s">
        <v>272</v>
      </c>
      <c r="C87" s="46"/>
      <c r="D87" s="46"/>
      <c r="E87" s="46" t="s">
        <v>69</v>
      </c>
      <c r="F87" s="47">
        <f>$F$10*1</f>
        <v>743</v>
      </c>
      <c r="G87" s="47">
        <f>ROUND(D87*F87,2)</f>
        <v>0</v>
      </c>
      <c r="H87" s="330">
        <f>$H$10*1</f>
        <v>966</v>
      </c>
      <c r="I87" s="47">
        <f>D87*H87</f>
        <v>0</v>
      </c>
      <c r="J87" s="165"/>
    </row>
    <row r="88" spans="1:94" x14ac:dyDescent="0.25">
      <c r="A88" s="9"/>
      <c r="B88" s="51" t="s">
        <v>275</v>
      </c>
      <c r="C88" s="46"/>
      <c r="D88" s="46"/>
      <c r="E88" s="46"/>
      <c r="F88" s="47"/>
      <c r="G88" s="47"/>
      <c r="H88" s="330"/>
      <c r="I88" s="47"/>
      <c r="J88" s="165"/>
    </row>
    <row r="89" spans="1:94" x14ac:dyDescent="0.25">
      <c r="A89" s="9"/>
      <c r="B89" s="45" t="s">
        <v>457</v>
      </c>
      <c r="C89" s="46"/>
      <c r="D89" s="46"/>
      <c r="E89" s="46"/>
      <c r="F89" s="47"/>
      <c r="G89" s="47"/>
      <c r="H89" s="330"/>
      <c r="I89" s="47"/>
      <c r="J89" s="165"/>
    </row>
    <row r="90" spans="1:94" x14ac:dyDescent="0.25">
      <c r="A90" s="9"/>
      <c r="B90" s="45" t="s">
        <v>271</v>
      </c>
      <c r="C90" s="46"/>
      <c r="D90" s="46"/>
      <c r="E90" s="46" t="s">
        <v>69</v>
      </c>
      <c r="F90" s="47">
        <f>ROUND($F$10*5.5,2)</f>
        <v>4086.5</v>
      </c>
      <c r="G90" s="47">
        <f>ROUND(D90*F90,2)</f>
        <v>0</v>
      </c>
      <c r="H90" s="330">
        <f>$H$10*5.5</f>
        <v>5313</v>
      </c>
      <c r="I90" s="47">
        <f>D90*H90</f>
        <v>0</v>
      </c>
      <c r="J90" s="165" t="s">
        <v>499</v>
      </c>
    </row>
    <row r="91" spans="1:94" x14ac:dyDescent="0.25">
      <c r="A91" s="9"/>
      <c r="B91" s="45" t="s">
        <v>272</v>
      </c>
      <c r="C91" s="46"/>
      <c r="D91" s="46"/>
      <c r="E91" s="46" t="s">
        <v>69</v>
      </c>
      <c r="F91" s="47">
        <f>ROUND($F$10*2.75,2)</f>
        <v>2043.25</v>
      </c>
      <c r="G91" s="47">
        <f>ROUND(D91*F91,2)</f>
        <v>0</v>
      </c>
      <c r="H91" s="330">
        <f>$H$10*2.75</f>
        <v>2656.5</v>
      </c>
      <c r="I91" s="47">
        <f>D91*H91</f>
        <v>0</v>
      </c>
      <c r="J91" s="165"/>
    </row>
    <row r="92" spans="1:94" x14ac:dyDescent="0.25">
      <c r="A92" s="9"/>
      <c r="B92" s="45" t="s">
        <v>458</v>
      </c>
      <c r="C92" s="46"/>
      <c r="D92" s="46"/>
      <c r="E92" s="46"/>
      <c r="F92" s="47"/>
      <c r="G92" s="47"/>
      <c r="H92" s="330"/>
      <c r="I92" s="47"/>
      <c r="J92" s="165"/>
    </row>
    <row r="93" spans="1:94" x14ac:dyDescent="0.25">
      <c r="A93" s="9"/>
      <c r="B93" s="45" t="s">
        <v>271</v>
      </c>
      <c r="C93" s="46"/>
      <c r="D93" s="46"/>
      <c r="E93" s="46" t="s">
        <v>69</v>
      </c>
      <c r="F93" s="47">
        <f>ROUND($F$10*2.75,2)</f>
        <v>2043.25</v>
      </c>
      <c r="G93" s="47">
        <f>ROUND(D93*F93,2)</f>
        <v>0</v>
      </c>
      <c r="H93" s="330">
        <f>$H$10*2.75</f>
        <v>2656.5</v>
      </c>
      <c r="I93" s="47">
        <f>D93*H93</f>
        <v>0</v>
      </c>
      <c r="J93" s="165"/>
    </row>
    <row r="94" spans="1:94" x14ac:dyDescent="0.25">
      <c r="A94" s="9"/>
      <c r="B94" s="48" t="s">
        <v>272</v>
      </c>
      <c r="C94" s="49"/>
      <c r="D94" s="49"/>
      <c r="E94" s="49" t="s">
        <v>69</v>
      </c>
      <c r="F94" s="50">
        <f>ROUND($F$10*1.4,2)</f>
        <v>1040.2</v>
      </c>
      <c r="G94" s="50">
        <f>ROUND(D94*F94,2)</f>
        <v>0</v>
      </c>
      <c r="H94" s="331">
        <f>$H$10*1.4</f>
        <v>1352.3999999999999</v>
      </c>
      <c r="I94" s="50">
        <f>D94*H94</f>
        <v>0</v>
      </c>
      <c r="J94" s="102"/>
    </row>
    <row r="95" spans="1:94" s="12" customFormat="1" x14ac:dyDescent="0.25">
      <c r="A95" s="322"/>
      <c r="B95" s="119" t="s">
        <v>313</v>
      </c>
      <c r="C95" s="323"/>
      <c r="D95" s="324"/>
      <c r="E95" s="324"/>
      <c r="F95" s="35"/>
      <c r="G95" s="32">
        <f>SUM(G53:G94)</f>
        <v>0</v>
      </c>
      <c r="H95" s="38"/>
      <c r="I95" s="32">
        <f>SUM(I53:I94)</f>
        <v>0</v>
      </c>
      <c r="J95" s="325"/>
    </row>
    <row r="96" spans="1:94" s="27" customFormat="1" x14ac:dyDescent="0.25">
      <c r="A96" s="341"/>
      <c r="B96" s="33"/>
      <c r="C96" s="114"/>
      <c r="D96" s="114"/>
      <c r="E96" s="114"/>
      <c r="F96" s="115"/>
      <c r="G96" s="315"/>
      <c r="H96" s="115"/>
      <c r="I96" s="115"/>
      <c r="J96" s="414"/>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row>
    <row r="97" spans="1:94" s="28" customFormat="1" ht="25.5" x14ac:dyDescent="0.25">
      <c r="A97" s="149">
        <v>4</v>
      </c>
      <c r="B97" s="377" t="s">
        <v>515</v>
      </c>
      <c r="C97" s="114"/>
      <c r="D97" s="191"/>
      <c r="E97" s="114"/>
      <c r="F97" s="25"/>
      <c r="G97" s="25"/>
      <c r="H97" s="315"/>
      <c r="I97" s="115"/>
      <c r="J97" s="103"/>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row>
    <row r="98" spans="1:94" s="27" customFormat="1" ht="38.25" x14ac:dyDescent="0.25">
      <c r="A98" s="9"/>
      <c r="B98" s="233" t="s">
        <v>524</v>
      </c>
      <c r="C98" s="114">
        <v>3.9</v>
      </c>
      <c r="D98" s="22"/>
      <c r="E98" s="114" t="s">
        <v>119</v>
      </c>
      <c r="F98" s="25">
        <f>ROUND($F$10*5.5,2)</f>
        <v>4086.5</v>
      </c>
      <c r="G98" s="25">
        <f>ROUND(D98*F98,2)</f>
        <v>0</v>
      </c>
      <c r="H98" s="315">
        <f>$H$10*5.5</f>
        <v>5313</v>
      </c>
      <c r="I98" s="115">
        <f>D98*H98</f>
        <v>0</v>
      </c>
      <c r="J98" s="120" t="s">
        <v>554</v>
      </c>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row>
    <row r="99" spans="1:94" x14ac:dyDescent="0.25">
      <c r="A99" s="9"/>
      <c r="B99" s="366" t="s">
        <v>234</v>
      </c>
      <c r="C99" s="171" t="s">
        <v>428</v>
      </c>
      <c r="D99" s="61"/>
      <c r="E99" s="43"/>
      <c r="F99" s="56"/>
      <c r="G99" s="44"/>
      <c r="H99" s="56"/>
      <c r="I99" s="44"/>
      <c r="J99" s="107"/>
      <c r="L99" s="30"/>
    </row>
    <row r="100" spans="1:94" ht="38.25" x14ac:dyDescent="0.25">
      <c r="A100" s="9"/>
      <c r="B100" s="62" t="s">
        <v>459</v>
      </c>
      <c r="C100" s="46" t="s">
        <v>82</v>
      </c>
      <c r="D100" s="64"/>
      <c r="E100" s="46" t="s">
        <v>69</v>
      </c>
      <c r="F100" s="58">
        <f>ROUND($F$10*8,2)</f>
        <v>5944</v>
      </c>
      <c r="G100" s="130">
        <f>ROUND(D100*F100,2)</f>
        <v>0</v>
      </c>
      <c r="H100" s="58">
        <f>$H$10*8</f>
        <v>7728</v>
      </c>
      <c r="I100" s="47">
        <f>D100*H100</f>
        <v>0</v>
      </c>
      <c r="J100" s="165" t="s">
        <v>191</v>
      </c>
      <c r="L100" s="30"/>
    </row>
    <row r="101" spans="1:94" x14ac:dyDescent="0.25">
      <c r="A101" s="9"/>
      <c r="B101" s="62" t="s">
        <v>460</v>
      </c>
      <c r="C101" s="46" t="s">
        <v>83</v>
      </c>
      <c r="D101" s="64"/>
      <c r="E101" s="46"/>
      <c r="F101" s="58"/>
      <c r="G101" s="47"/>
      <c r="H101" s="58"/>
      <c r="I101" s="47"/>
      <c r="J101" s="165" t="s">
        <v>430</v>
      </c>
      <c r="L101" s="30"/>
    </row>
    <row r="102" spans="1:94" ht="25.5" x14ac:dyDescent="0.25">
      <c r="A102" s="9"/>
      <c r="B102" s="372" t="s">
        <v>461</v>
      </c>
      <c r="C102" s="306" t="s">
        <v>28</v>
      </c>
      <c r="D102" s="349"/>
      <c r="E102" s="306" t="s">
        <v>60</v>
      </c>
      <c r="F102" s="82">
        <v>600</v>
      </c>
      <c r="G102" s="130">
        <f>ROUND(D102*F102,2)</f>
        <v>0</v>
      </c>
      <c r="H102" s="82">
        <v>600</v>
      </c>
      <c r="I102" s="130">
        <f>D102*H102</f>
        <v>0</v>
      </c>
      <c r="J102" s="326" t="s">
        <v>500</v>
      </c>
      <c r="K102" s="472"/>
      <c r="L102" s="31"/>
    </row>
    <row r="103" spans="1:94" s="16" customFormat="1" ht="51" x14ac:dyDescent="0.25">
      <c r="A103" s="9"/>
      <c r="B103" s="72" t="s">
        <v>462</v>
      </c>
      <c r="C103" s="46" t="s">
        <v>29</v>
      </c>
      <c r="D103" s="286"/>
      <c r="E103" s="46" t="s">
        <v>106</v>
      </c>
      <c r="F103" s="58">
        <v>300</v>
      </c>
      <c r="G103" s="47">
        <f>ROUND(D103*F103,2)</f>
        <v>0</v>
      </c>
      <c r="H103" s="58">
        <v>300</v>
      </c>
      <c r="I103" s="47">
        <f>D103*H103</f>
        <v>0</v>
      </c>
      <c r="J103" s="327" t="s">
        <v>431</v>
      </c>
      <c r="K103" s="472"/>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row>
    <row r="104" spans="1:94" ht="25.5" x14ac:dyDescent="0.25">
      <c r="A104" s="9"/>
      <c r="B104" s="301" t="s">
        <v>463</v>
      </c>
      <c r="C104" s="49" t="s">
        <v>354</v>
      </c>
      <c r="D104" s="287"/>
      <c r="E104" s="49" t="s">
        <v>69</v>
      </c>
      <c r="F104" s="60">
        <f>ROUND($F$10*8,2)</f>
        <v>5944</v>
      </c>
      <c r="G104" s="50">
        <f>ROUND(D104*F104,2)</f>
        <v>0</v>
      </c>
      <c r="H104" s="60">
        <f>$H$10*8</f>
        <v>7728</v>
      </c>
      <c r="I104" s="50">
        <f>D104*H104</f>
        <v>0</v>
      </c>
      <c r="J104" s="328" t="s">
        <v>449</v>
      </c>
      <c r="K104" s="196"/>
    </row>
    <row r="105" spans="1:94" s="27" customFormat="1" ht="25.5" x14ac:dyDescent="0.25">
      <c r="A105" s="9"/>
      <c r="B105" s="319" t="s">
        <v>209</v>
      </c>
      <c r="C105" s="61">
        <v>4.12</v>
      </c>
      <c r="D105" s="171"/>
      <c r="E105" s="61"/>
      <c r="F105" s="44"/>
      <c r="G105" s="332"/>
      <c r="H105" s="332"/>
      <c r="I105" s="56"/>
      <c r="J105" s="99" t="s">
        <v>501</v>
      </c>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row>
    <row r="106" spans="1:94" x14ac:dyDescent="0.25">
      <c r="A106" s="9"/>
      <c r="B106" s="352" t="s">
        <v>539</v>
      </c>
      <c r="C106" s="313">
        <v>4.12</v>
      </c>
      <c r="D106" s="423"/>
      <c r="E106" s="313" t="s">
        <v>69</v>
      </c>
      <c r="F106" s="130">
        <f>ROUND($F$10*1.75,2)</f>
        <v>1300.25</v>
      </c>
      <c r="G106" s="333">
        <f>ROUND(D106*F106,2)</f>
        <v>0</v>
      </c>
      <c r="H106" s="333">
        <f>$H$10*2.75</f>
        <v>2656.5</v>
      </c>
      <c r="I106" s="82">
        <f>D106*H106</f>
        <v>0</v>
      </c>
      <c r="J106" s="401" t="s">
        <v>322</v>
      </c>
    </row>
    <row r="107" spans="1:94" x14ac:dyDescent="0.25">
      <c r="A107" s="9"/>
      <c r="B107" s="77" t="s">
        <v>447</v>
      </c>
      <c r="C107" s="64">
        <v>4.12</v>
      </c>
      <c r="D107" s="172"/>
      <c r="E107" s="64" t="s">
        <v>69</v>
      </c>
      <c r="F107" s="47">
        <f>ROUND($F$10*3,2)</f>
        <v>2229</v>
      </c>
      <c r="G107" s="330">
        <f>ROUND(D107*F107,2)</f>
        <v>0</v>
      </c>
      <c r="H107" s="330">
        <f>$H$10*4.75</f>
        <v>4588.5</v>
      </c>
      <c r="I107" s="58">
        <f t="shared" ref="I107" si="6">D107*H107</f>
        <v>0</v>
      </c>
      <c r="J107" s="165" t="s">
        <v>429</v>
      </c>
    </row>
    <row r="108" spans="1:94" x14ac:dyDescent="0.25">
      <c r="A108" s="9"/>
      <c r="B108" s="378" t="s">
        <v>210</v>
      </c>
      <c r="C108" s="43"/>
      <c r="D108" s="171"/>
      <c r="E108" s="43"/>
      <c r="F108" s="44"/>
      <c r="G108" s="44"/>
      <c r="H108" s="44"/>
      <c r="I108" s="332"/>
      <c r="J108" s="351"/>
    </row>
    <row r="109" spans="1:94" ht="25.5" x14ac:dyDescent="0.25">
      <c r="A109" s="9"/>
      <c r="B109" s="372" t="s">
        <v>464</v>
      </c>
      <c r="C109" s="306">
        <v>4.13</v>
      </c>
      <c r="D109" s="423"/>
      <c r="E109" s="306" t="s">
        <v>443</v>
      </c>
      <c r="F109" s="130">
        <f>ROUND($F$10/7,2)</f>
        <v>106.14</v>
      </c>
      <c r="G109" s="333">
        <f>ROUND(D109*F109,2)</f>
        <v>0</v>
      </c>
      <c r="H109" s="130">
        <f>ROUND($H$10/7,2)</f>
        <v>138</v>
      </c>
      <c r="I109" s="82">
        <f>D109*H109</f>
        <v>0</v>
      </c>
      <c r="J109" s="165" t="s">
        <v>559</v>
      </c>
    </row>
    <row r="110" spans="1:94" ht="25.5" x14ac:dyDescent="0.25">
      <c r="A110" s="9"/>
      <c r="B110" s="201" t="s">
        <v>465</v>
      </c>
      <c r="C110" s="81">
        <v>4.13</v>
      </c>
      <c r="D110" s="223"/>
      <c r="E110" s="81" t="s">
        <v>443</v>
      </c>
      <c r="F110" s="10">
        <f>ROUND($F$10/4,2)</f>
        <v>185.75</v>
      </c>
      <c r="G110" s="10">
        <f>ROUND(D110*F110,2)</f>
        <v>0</v>
      </c>
      <c r="H110" s="10">
        <f>ROUND($H$10/4,2)</f>
        <v>241.5</v>
      </c>
      <c r="I110" s="58">
        <f t="shared" ref="I110" si="7">D110*H110</f>
        <v>0</v>
      </c>
      <c r="J110" s="102" t="s">
        <v>560</v>
      </c>
    </row>
    <row r="111" spans="1:94" s="12" customFormat="1" x14ac:dyDescent="0.25">
      <c r="A111" s="322"/>
      <c r="B111" s="122" t="s">
        <v>310</v>
      </c>
      <c r="C111" s="340"/>
      <c r="D111" s="341"/>
      <c r="E111" s="324"/>
      <c r="F111" s="38"/>
      <c r="G111" s="32">
        <f>SUM(G98:G110)</f>
        <v>0</v>
      </c>
      <c r="H111" s="38"/>
      <c r="I111" s="32">
        <f>SUM(I98:I110)</f>
        <v>0</v>
      </c>
      <c r="J111" s="342"/>
    </row>
    <row r="112" spans="1:94" x14ac:dyDescent="0.25">
      <c r="A112" s="341"/>
      <c r="B112" s="28"/>
      <c r="C112" s="114"/>
      <c r="D112" s="347"/>
      <c r="E112" s="114"/>
      <c r="F112" s="115"/>
      <c r="G112" s="315"/>
      <c r="H112" s="269"/>
      <c r="I112" s="115"/>
      <c r="J112" s="415"/>
    </row>
    <row r="113" spans="1:11" x14ac:dyDescent="0.25">
      <c r="A113" s="149">
        <v>5</v>
      </c>
      <c r="B113" s="346" t="s">
        <v>90</v>
      </c>
      <c r="C113" s="22"/>
      <c r="D113" s="347"/>
      <c r="E113" s="22"/>
      <c r="F113" s="115"/>
      <c r="G113" s="25"/>
      <c r="H113" s="25"/>
      <c r="I113" s="25"/>
      <c r="J113" s="25"/>
      <c r="K113" s="196"/>
    </row>
    <row r="114" spans="1:11" ht="63.75" x14ac:dyDescent="0.25">
      <c r="A114" s="9"/>
      <c r="B114" s="378" t="s">
        <v>263</v>
      </c>
      <c r="C114" s="43"/>
      <c r="D114" s="55"/>
      <c r="E114" s="43" t="s">
        <v>262</v>
      </c>
      <c r="F114" s="56"/>
      <c r="G114" s="44"/>
      <c r="H114" s="56"/>
      <c r="I114" s="44"/>
      <c r="J114" s="351" t="s">
        <v>446</v>
      </c>
      <c r="K114" s="196"/>
    </row>
    <row r="115" spans="1:11" x14ac:dyDescent="0.25">
      <c r="A115" s="9"/>
      <c r="B115" s="372" t="s">
        <v>468</v>
      </c>
      <c r="C115" s="306">
        <v>11.1</v>
      </c>
      <c r="D115" s="349"/>
      <c r="E115" s="306"/>
      <c r="F115" s="82"/>
      <c r="G115" s="130"/>
      <c r="H115" s="82"/>
      <c r="I115" s="130"/>
      <c r="J115" s="326"/>
      <c r="K115" s="196"/>
    </row>
    <row r="116" spans="1:11" x14ac:dyDescent="0.25">
      <c r="A116" s="9"/>
      <c r="B116" s="72" t="s">
        <v>296</v>
      </c>
      <c r="C116" s="46"/>
      <c r="D116" s="286"/>
      <c r="E116" s="46" t="s">
        <v>264</v>
      </c>
      <c r="F116" s="402"/>
      <c r="G116" s="47">
        <f>D116*F116</f>
        <v>0</v>
      </c>
      <c r="H116" s="58">
        <f>0.5*(5*$D$114*10000)*(2*1000+$H$10/1.6)</f>
        <v>0</v>
      </c>
      <c r="I116" s="47">
        <f t="shared" ref="I116:I126" si="8">D116*H116</f>
        <v>0</v>
      </c>
      <c r="J116" s="327"/>
      <c r="K116" s="196"/>
    </row>
    <row r="117" spans="1:11" x14ac:dyDescent="0.25">
      <c r="A117" s="9"/>
      <c r="B117" s="72" t="s">
        <v>91</v>
      </c>
      <c r="C117" s="46"/>
      <c r="D117" s="286"/>
      <c r="E117" s="46" t="s">
        <v>264</v>
      </c>
      <c r="F117" s="58"/>
      <c r="G117" s="47">
        <f>D117*F117</f>
        <v>0</v>
      </c>
      <c r="H117" s="58">
        <f>(24*$D$114)*0.5</f>
        <v>0</v>
      </c>
      <c r="I117" s="47">
        <f t="shared" si="8"/>
        <v>0</v>
      </c>
      <c r="J117" s="327"/>
      <c r="K117" s="196"/>
    </row>
    <row r="118" spans="1:11" x14ac:dyDescent="0.25">
      <c r="A118" s="9"/>
      <c r="B118" s="72" t="s">
        <v>469</v>
      </c>
      <c r="C118" s="46">
        <v>11.1</v>
      </c>
      <c r="D118" s="286"/>
      <c r="E118" s="46"/>
      <c r="F118" s="58"/>
      <c r="G118" s="47"/>
      <c r="H118" s="58"/>
      <c r="I118" s="47"/>
      <c r="J118" s="327"/>
      <c r="K118" s="196"/>
    </row>
    <row r="119" spans="1:11" x14ac:dyDescent="0.25">
      <c r="A119" s="9"/>
      <c r="B119" s="72" t="s">
        <v>296</v>
      </c>
      <c r="C119" s="46"/>
      <c r="D119" s="286"/>
      <c r="E119" s="46" t="s">
        <v>264</v>
      </c>
      <c r="F119" s="402"/>
      <c r="G119" s="47">
        <f>D119*F119</f>
        <v>0</v>
      </c>
      <c r="H119" s="58">
        <v>0</v>
      </c>
      <c r="I119" s="47">
        <f t="shared" si="8"/>
        <v>0</v>
      </c>
      <c r="J119" s="327"/>
      <c r="K119" s="196"/>
    </row>
    <row r="120" spans="1:11" x14ac:dyDescent="0.25">
      <c r="A120" s="9"/>
      <c r="B120" s="72" t="s">
        <v>91</v>
      </c>
      <c r="C120" s="46"/>
      <c r="D120" s="286"/>
      <c r="E120" s="46" t="s">
        <v>264</v>
      </c>
      <c r="F120" s="58"/>
      <c r="G120" s="47">
        <f>D120*F120</f>
        <v>0</v>
      </c>
      <c r="H120" s="58">
        <f>(24*$D$114)</f>
        <v>0</v>
      </c>
      <c r="I120" s="47">
        <f t="shared" si="8"/>
        <v>0</v>
      </c>
      <c r="J120" s="327"/>
      <c r="K120" s="196"/>
    </row>
    <row r="121" spans="1:11" x14ac:dyDescent="0.25">
      <c r="A121" s="9"/>
      <c r="B121" s="72" t="s">
        <v>470</v>
      </c>
      <c r="C121" s="46">
        <v>11.1</v>
      </c>
      <c r="D121" s="286"/>
      <c r="E121" s="46"/>
      <c r="F121" s="58"/>
      <c r="G121" s="47"/>
      <c r="H121" s="58"/>
      <c r="I121" s="47"/>
      <c r="J121" s="327"/>
      <c r="K121" s="196"/>
    </row>
    <row r="122" spans="1:11" x14ac:dyDescent="0.25">
      <c r="A122" s="9"/>
      <c r="B122" s="72" t="s">
        <v>296</v>
      </c>
      <c r="C122" s="46"/>
      <c r="D122" s="286"/>
      <c r="E122" s="46" t="s">
        <v>264</v>
      </c>
      <c r="F122" s="402"/>
      <c r="G122" s="47">
        <f>D122*F122</f>
        <v>0</v>
      </c>
      <c r="H122" s="58">
        <f>1.5*(5*$D$114*10000)*(2*1000+$H$10/1.6)</f>
        <v>0</v>
      </c>
      <c r="I122" s="47">
        <f t="shared" si="8"/>
        <v>0</v>
      </c>
      <c r="J122" s="327"/>
      <c r="K122" s="196"/>
    </row>
    <row r="123" spans="1:11" x14ac:dyDescent="0.25">
      <c r="A123" s="9"/>
      <c r="B123" s="72" t="s">
        <v>91</v>
      </c>
      <c r="C123" s="46"/>
      <c r="D123" s="286"/>
      <c r="E123" s="46" t="s">
        <v>264</v>
      </c>
      <c r="F123" s="58"/>
      <c r="G123" s="47">
        <f>D123*F123</f>
        <v>0</v>
      </c>
      <c r="H123" s="58">
        <f>(24*$D$114)*1.5</f>
        <v>0</v>
      </c>
      <c r="I123" s="47">
        <f t="shared" si="8"/>
        <v>0</v>
      </c>
      <c r="J123" s="327"/>
      <c r="K123" s="196"/>
    </row>
    <row r="124" spans="1:11" x14ac:dyDescent="0.25">
      <c r="A124" s="9"/>
      <c r="B124" s="72" t="s">
        <v>471</v>
      </c>
      <c r="C124" s="46">
        <v>11.1</v>
      </c>
      <c r="D124" s="286"/>
      <c r="E124" s="46"/>
      <c r="F124" s="58"/>
      <c r="G124" s="47"/>
      <c r="H124" s="58"/>
      <c r="I124" s="47"/>
      <c r="J124" s="327"/>
      <c r="K124" s="196"/>
    </row>
    <row r="125" spans="1:11" x14ac:dyDescent="0.25">
      <c r="A125" s="9"/>
      <c r="B125" s="72" t="s">
        <v>296</v>
      </c>
      <c r="C125" s="46"/>
      <c r="D125" s="286"/>
      <c r="E125" s="46" t="s">
        <v>264</v>
      </c>
      <c r="F125" s="402"/>
      <c r="G125" s="47">
        <f>D125*F125</f>
        <v>0</v>
      </c>
      <c r="H125" s="58">
        <f>2*(5*$D$114*10000)*(2*1000+$H$10/1.6)</f>
        <v>0</v>
      </c>
      <c r="I125" s="47">
        <f t="shared" si="8"/>
        <v>0</v>
      </c>
      <c r="J125" s="327"/>
      <c r="K125" s="196"/>
    </row>
    <row r="126" spans="1:11" x14ac:dyDescent="0.25">
      <c r="A126" s="9"/>
      <c r="B126" s="198" t="s">
        <v>91</v>
      </c>
      <c r="C126" s="80"/>
      <c r="D126" s="181"/>
      <c r="E126" s="80" t="s">
        <v>264</v>
      </c>
      <c r="F126" s="161"/>
      <c r="G126" s="10">
        <f>D126*F126</f>
        <v>0</v>
      </c>
      <c r="H126" s="161">
        <f>(24*$D$114)*2</f>
        <v>0</v>
      </c>
      <c r="I126" s="10">
        <f t="shared" si="8"/>
        <v>0</v>
      </c>
      <c r="J126" s="121"/>
      <c r="K126" s="196"/>
    </row>
    <row r="127" spans="1:11" s="12" customFormat="1" x14ac:dyDescent="0.25">
      <c r="A127" s="310"/>
      <c r="B127" s="180" t="s">
        <v>66</v>
      </c>
      <c r="C127" s="403"/>
      <c r="D127" s="149"/>
      <c r="E127" s="149"/>
      <c r="F127" s="404"/>
      <c r="G127" s="405">
        <f>SUM(G115:G126)</f>
        <v>0</v>
      </c>
      <c r="H127" s="406"/>
      <c r="I127" s="405">
        <f>SUM(I115:I126)</f>
        <v>0</v>
      </c>
      <c r="J127" s="407"/>
    </row>
    <row r="128" spans="1:11" x14ac:dyDescent="0.25">
      <c r="A128" s="9"/>
      <c r="B128" s="250" t="s">
        <v>297</v>
      </c>
      <c r="C128" s="22">
        <v>11.2</v>
      </c>
      <c r="D128" s="191"/>
      <c r="E128" s="251">
        <v>0.2</v>
      </c>
      <c r="F128" s="25"/>
      <c r="G128" s="25">
        <f>(G127+E128)/100</f>
        <v>2E-3</v>
      </c>
      <c r="H128" s="315"/>
      <c r="I128" s="25">
        <f>(I127+E128)/100</f>
        <v>2E-3</v>
      </c>
      <c r="J128" s="252"/>
      <c r="K128" s="196"/>
    </row>
    <row r="129" spans="1:94" ht="38.25" x14ac:dyDescent="0.25">
      <c r="A129" s="9"/>
      <c r="B129" s="122" t="s">
        <v>215</v>
      </c>
      <c r="C129" s="81">
        <v>12</v>
      </c>
      <c r="D129" s="202"/>
      <c r="E129" s="255" t="s">
        <v>407</v>
      </c>
      <c r="F129" s="10">
        <v>0</v>
      </c>
      <c r="G129" s="10">
        <f>ROUND(F129*1.25,2)</f>
        <v>0</v>
      </c>
      <c r="H129" s="14"/>
      <c r="I129" s="10">
        <f>H129*1.25</f>
        <v>0</v>
      </c>
      <c r="J129" s="121" t="s">
        <v>555</v>
      </c>
      <c r="K129" s="196"/>
    </row>
    <row r="130" spans="1:94" s="12" customFormat="1" x14ac:dyDescent="0.25">
      <c r="A130" s="322"/>
      <c r="B130" s="119" t="s">
        <v>392</v>
      </c>
      <c r="C130" s="323"/>
      <c r="D130" s="324"/>
      <c r="E130" s="324"/>
      <c r="F130" s="38"/>
      <c r="G130" s="32">
        <f>SUM(G113:G129)</f>
        <v>2E-3</v>
      </c>
      <c r="H130" s="38"/>
      <c r="I130" s="32">
        <f>SUM(I127:I129)</f>
        <v>2E-3</v>
      </c>
      <c r="J130" s="325"/>
    </row>
    <row r="131" spans="1:94" x14ac:dyDescent="0.25">
      <c r="A131" s="341"/>
      <c r="B131" s="28"/>
      <c r="C131" s="114"/>
      <c r="D131" s="347"/>
      <c r="E131" s="114"/>
      <c r="F131" s="115"/>
      <c r="G131" s="315"/>
      <c r="H131" s="269"/>
      <c r="I131" s="115"/>
      <c r="J131" s="415"/>
    </row>
    <row r="132" spans="1:94" ht="25.5" x14ac:dyDescent="0.25">
      <c r="A132" s="149">
        <v>6</v>
      </c>
      <c r="B132" s="256" t="s">
        <v>235</v>
      </c>
      <c r="C132" s="41"/>
      <c r="D132" s="348"/>
      <c r="E132" s="41"/>
      <c r="F132" s="123"/>
      <c r="G132" s="335"/>
      <c r="H132" s="335"/>
      <c r="I132" s="161"/>
      <c r="J132" s="108" t="s">
        <v>340</v>
      </c>
    </row>
    <row r="133" spans="1:94" x14ac:dyDescent="0.25">
      <c r="A133" s="310"/>
      <c r="B133" s="362" t="s">
        <v>516</v>
      </c>
      <c r="C133" s="61">
        <v>14.8</v>
      </c>
      <c r="D133" s="83"/>
      <c r="E133" s="61"/>
      <c r="F133" s="367"/>
      <c r="G133" s="332"/>
      <c r="H133" s="332"/>
      <c r="I133" s="56"/>
      <c r="J133" s="99" t="s">
        <v>329</v>
      </c>
    </row>
    <row r="134" spans="1:94" x14ac:dyDescent="0.25">
      <c r="A134" s="310"/>
      <c r="B134" s="316" t="s">
        <v>538</v>
      </c>
      <c r="C134" s="313" t="s">
        <v>92</v>
      </c>
      <c r="D134" s="306"/>
      <c r="E134" s="313" t="s">
        <v>119</v>
      </c>
      <c r="F134" s="354">
        <f>ROUND($F$10/2,2)</f>
        <v>371.5</v>
      </c>
      <c r="G134" s="333">
        <f>ROUND(D134*F134,2)</f>
        <v>0</v>
      </c>
      <c r="H134" s="416">
        <f>$H$10/2</f>
        <v>483</v>
      </c>
      <c r="I134" s="82">
        <f>D134*H134</f>
        <v>0</v>
      </c>
      <c r="J134" s="401" t="s">
        <v>301</v>
      </c>
    </row>
    <row r="135" spans="1:94" x14ac:dyDescent="0.25">
      <c r="A135" s="310"/>
      <c r="B135" s="45" t="s">
        <v>466</v>
      </c>
      <c r="C135" s="355" t="s">
        <v>365</v>
      </c>
      <c r="D135" s="46"/>
      <c r="E135" s="64" t="s">
        <v>119</v>
      </c>
      <c r="F135" s="356">
        <f>ROUND($F$10/1.5,2)</f>
        <v>495.33</v>
      </c>
      <c r="G135" s="330">
        <f>ROUND(D135*F135,2)</f>
        <v>0</v>
      </c>
      <c r="H135" s="417">
        <f>$H$10/1.5</f>
        <v>644</v>
      </c>
      <c r="I135" s="58">
        <f t="shared" ref="I135:I137" si="9">D135*H135</f>
        <v>0</v>
      </c>
      <c r="J135" s="165" t="s">
        <v>302</v>
      </c>
    </row>
    <row r="136" spans="1:94" x14ac:dyDescent="0.25">
      <c r="A136" s="310"/>
      <c r="B136" s="216" t="s">
        <v>467</v>
      </c>
      <c r="C136" s="84" t="s">
        <v>93</v>
      </c>
      <c r="D136" s="320"/>
      <c r="E136" s="84" t="s">
        <v>119</v>
      </c>
      <c r="F136" s="357">
        <f>ROUND($F$10/1,2)</f>
        <v>743</v>
      </c>
      <c r="G136" s="334">
        <f>ROUND(D136*F136,2)</f>
        <v>0</v>
      </c>
      <c r="H136" s="418">
        <f>$H$10/1</f>
        <v>966</v>
      </c>
      <c r="I136" s="212">
        <f t="shared" si="9"/>
        <v>0</v>
      </c>
      <c r="J136" s="174" t="s">
        <v>303</v>
      </c>
    </row>
    <row r="137" spans="1:94" x14ac:dyDescent="0.25">
      <c r="A137" s="310"/>
      <c r="B137" s="179" t="s">
        <v>472</v>
      </c>
      <c r="C137" s="17" t="s">
        <v>94</v>
      </c>
      <c r="D137" s="81"/>
      <c r="E137" s="17" t="s">
        <v>119</v>
      </c>
      <c r="F137" s="124">
        <f>ROUND($F$10/0.75,2)</f>
        <v>990.67</v>
      </c>
      <c r="G137" s="14">
        <f>ROUND(D137*F137,2)</f>
        <v>0</v>
      </c>
      <c r="H137" s="419">
        <f>$H$10/0.75</f>
        <v>1288</v>
      </c>
      <c r="I137" s="163">
        <f t="shared" si="9"/>
        <v>0</v>
      </c>
      <c r="J137" s="154" t="s">
        <v>304</v>
      </c>
    </row>
    <row r="138" spans="1:94" x14ac:dyDescent="0.25">
      <c r="A138" s="310"/>
      <c r="B138" s="42" t="s">
        <v>525</v>
      </c>
      <c r="C138" s="61" t="s">
        <v>95</v>
      </c>
      <c r="D138" s="43"/>
      <c r="E138" s="61"/>
      <c r="F138" s="367"/>
      <c r="G138" s="332"/>
      <c r="H138" s="332"/>
      <c r="I138" s="56"/>
      <c r="J138" s="99" t="s">
        <v>308</v>
      </c>
    </row>
    <row r="139" spans="1:94" x14ac:dyDescent="0.25">
      <c r="A139" s="310"/>
      <c r="B139" s="316" t="s">
        <v>473</v>
      </c>
      <c r="C139" s="313" t="s">
        <v>95</v>
      </c>
      <c r="D139" s="306"/>
      <c r="E139" s="313" t="s">
        <v>69</v>
      </c>
      <c r="F139" s="354">
        <f>ROUND($F$10/0.3,2)</f>
        <v>2476.67</v>
      </c>
      <c r="G139" s="333">
        <f>IF(D139=0,0,IF(D139*F139&lt;3000,3000,D139*F139))</f>
        <v>0</v>
      </c>
      <c r="H139" s="416">
        <f>$H$10/0.3</f>
        <v>3220</v>
      </c>
      <c r="I139" s="82">
        <f>IF(D139=0,0,IF(D139*H139&lt;3000,3000,D139*H139))</f>
        <v>0</v>
      </c>
      <c r="J139" s="401" t="s">
        <v>305</v>
      </c>
    </row>
    <row r="140" spans="1:94" x14ac:dyDescent="0.25">
      <c r="A140" s="310"/>
      <c r="B140" s="45" t="s">
        <v>474</v>
      </c>
      <c r="C140" s="64" t="s">
        <v>95</v>
      </c>
      <c r="D140" s="46"/>
      <c r="E140" s="64" t="s">
        <v>69</v>
      </c>
      <c r="F140" s="356">
        <f>ROUND($F$10/0.4,2)</f>
        <v>1857.5</v>
      </c>
      <c r="G140" s="330">
        <f t="shared" ref="G140:G141" si="10">IF(D140=0,0,IF(D140*F140&lt;3000,3000,D140*F140))</f>
        <v>0</v>
      </c>
      <c r="H140" s="417">
        <f>$H$10/0.4</f>
        <v>2415</v>
      </c>
      <c r="I140" s="58">
        <f t="shared" ref="I140:I141" si="11">D140*H140</f>
        <v>0</v>
      </c>
      <c r="J140" s="165" t="s">
        <v>306</v>
      </c>
    </row>
    <row r="141" spans="1:94" x14ac:dyDescent="0.25">
      <c r="A141" s="310"/>
      <c r="B141" s="179" t="s">
        <v>475</v>
      </c>
      <c r="C141" s="17" t="s">
        <v>95</v>
      </c>
      <c r="D141" s="81"/>
      <c r="E141" s="17" t="s">
        <v>69</v>
      </c>
      <c r="F141" s="124">
        <f>ROUND($F$10/0.5,2)</f>
        <v>1486</v>
      </c>
      <c r="G141" s="14">
        <f t="shared" si="10"/>
        <v>0</v>
      </c>
      <c r="H141" s="419">
        <f>$H$10/0.5</f>
        <v>1932</v>
      </c>
      <c r="I141" s="163">
        <f t="shared" si="11"/>
        <v>0</v>
      </c>
      <c r="J141" s="154" t="s">
        <v>307</v>
      </c>
    </row>
    <row r="142" spans="1:94" s="27" customFormat="1" ht="51" x14ac:dyDescent="0.25">
      <c r="A142" s="310"/>
      <c r="B142" s="42" t="s">
        <v>219</v>
      </c>
      <c r="C142" s="379">
        <v>14.1</v>
      </c>
      <c r="D142" s="43"/>
      <c r="E142" s="61"/>
      <c r="F142" s="367"/>
      <c r="G142" s="332"/>
      <c r="H142" s="332"/>
      <c r="I142" s="56"/>
      <c r="J142" s="351" t="s">
        <v>330</v>
      </c>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row>
    <row r="143" spans="1:94" x14ac:dyDescent="0.25">
      <c r="A143" s="310"/>
      <c r="B143" s="368" t="s">
        <v>517</v>
      </c>
      <c r="C143" s="313" t="s">
        <v>96</v>
      </c>
      <c r="D143" s="306"/>
      <c r="E143" s="313"/>
      <c r="F143" s="354"/>
      <c r="G143" s="333"/>
      <c r="H143" s="333"/>
      <c r="I143" s="82"/>
      <c r="J143" s="326"/>
    </row>
    <row r="144" spans="1:94" x14ac:dyDescent="0.25">
      <c r="A144" s="310"/>
      <c r="B144" s="45" t="s">
        <v>476</v>
      </c>
      <c r="C144" s="64" t="s">
        <v>96</v>
      </c>
      <c r="D144" s="46"/>
      <c r="E144" s="64"/>
      <c r="F144" s="356"/>
      <c r="G144" s="330"/>
      <c r="H144" s="330"/>
      <c r="I144" s="58"/>
      <c r="J144" s="327"/>
    </row>
    <row r="145" spans="1:94" x14ac:dyDescent="0.25">
      <c r="A145" s="310"/>
      <c r="B145" s="51" t="s">
        <v>102</v>
      </c>
      <c r="C145" s="64"/>
      <c r="D145" s="46"/>
      <c r="E145" s="64" t="s">
        <v>60</v>
      </c>
      <c r="F145" s="356">
        <v>3600</v>
      </c>
      <c r="G145" s="330">
        <f>IF(D145=0,0,IF(D145&lt;=14,F145,"error"))</f>
        <v>0</v>
      </c>
      <c r="H145" s="417">
        <v>3600</v>
      </c>
      <c r="I145" s="58">
        <f>IF(D145=0,0,IF(D145&lt;=14,H145,"error"))</f>
        <v>0</v>
      </c>
      <c r="J145" s="327"/>
    </row>
    <row r="146" spans="1:94" x14ac:dyDescent="0.25">
      <c r="A146" s="310"/>
      <c r="B146" s="51" t="s">
        <v>224</v>
      </c>
      <c r="C146" s="64"/>
      <c r="D146" s="46"/>
      <c r="E146" s="64" t="s">
        <v>60</v>
      </c>
      <c r="F146" s="356">
        <v>5000</v>
      </c>
      <c r="G146" s="330">
        <f>IF(D146=0,0,IF(D146&lt;=14,F146,"error"))</f>
        <v>0</v>
      </c>
      <c r="H146" s="417">
        <v>5000</v>
      </c>
      <c r="I146" s="58">
        <f>IF(D146=0,0,IF(D146&lt;=14,H146,"error"))</f>
        <v>0</v>
      </c>
      <c r="J146" s="327"/>
    </row>
    <row r="147" spans="1:94" x14ac:dyDescent="0.25">
      <c r="A147" s="310"/>
      <c r="B147" s="45" t="s">
        <v>477</v>
      </c>
      <c r="C147" s="64" t="s">
        <v>96</v>
      </c>
      <c r="D147" s="46"/>
      <c r="E147" s="64"/>
      <c r="F147" s="356"/>
      <c r="G147" s="330"/>
      <c r="H147" s="417"/>
      <c r="I147" s="58"/>
      <c r="J147" s="327"/>
    </row>
    <row r="148" spans="1:94" x14ac:dyDescent="0.25">
      <c r="A148" s="310"/>
      <c r="B148" s="51" t="s">
        <v>102</v>
      </c>
      <c r="C148" s="64"/>
      <c r="D148" s="46"/>
      <c r="E148" s="64" t="s">
        <v>60</v>
      </c>
      <c r="F148" s="356">
        <v>3600</v>
      </c>
      <c r="G148" s="330">
        <f>IF(D148=0,0,IF(AND(D148&gt;14,D148&lt;=30),F148,"error"))</f>
        <v>0</v>
      </c>
      <c r="H148" s="417">
        <v>3600</v>
      </c>
      <c r="I148" s="58">
        <f>IF(D148=0,0,IF(AND(D148&gt;14,D148&lt;=30),H148,"error"))</f>
        <v>0</v>
      </c>
      <c r="J148" s="327"/>
    </row>
    <row r="149" spans="1:94" x14ac:dyDescent="0.25">
      <c r="A149" s="310"/>
      <c r="B149" s="51" t="s">
        <v>224</v>
      </c>
      <c r="C149" s="64"/>
      <c r="D149" s="46"/>
      <c r="E149" s="64" t="s">
        <v>60</v>
      </c>
      <c r="F149" s="356">
        <v>12200</v>
      </c>
      <c r="G149" s="330">
        <f>IF(D149=0,0,IF(AND(D149&gt;14,D149&lt;=30),F149,"error"))</f>
        <v>0</v>
      </c>
      <c r="H149" s="417">
        <v>12200</v>
      </c>
      <c r="I149" s="58">
        <f>IF(D149=0,0,IF(AND(D149&gt;14,D149&lt;=30),H149,"error"))</f>
        <v>0</v>
      </c>
      <c r="J149" s="327"/>
    </row>
    <row r="150" spans="1:94" x14ac:dyDescent="0.25">
      <c r="A150" s="310"/>
      <c r="B150" s="358" t="s">
        <v>101</v>
      </c>
      <c r="C150" s="64" t="s">
        <v>97</v>
      </c>
      <c r="D150" s="46"/>
      <c r="E150" s="64"/>
      <c r="F150" s="356"/>
      <c r="G150" s="330"/>
      <c r="H150" s="417"/>
      <c r="I150" s="58"/>
      <c r="J150" s="327" t="s">
        <v>331</v>
      </c>
    </row>
    <row r="151" spans="1:94" x14ac:dyDescent="0.25">
      <c r="A151" s="310"/>
      <c r="B151" s="51" t="s">
        <v>102</v>
      </c>
      <c r="C151" s="64"/>
      <c r="D151" s="46"/>
      <c r="E151" s="64" t="s">
        <v>60</v>
      </c>
      <c r="F151" s="356">
        <v>900</v>
      </c>
      <c r="G151" s="330">
        <f t="shared" ref="G151" si="12">D151*F151</f>
        <v>0</v>
      </c>
      <c r="H151" s="417">
        <v>900</v>
      </c>
      <c r="I151" s="58">
        <f>D151*H151</f>
        <v>0</v>
      </c>
      <c r="J151" s="327" t="s">
        <v>491</v>
      </c>
    </row>
    <row r="152" spans="1:94" s="16" customFormat="1" ht="25.5" x14ac:dyDescent="0.25">
      <c r="A152" s="310"/>
      <c r="B152" s="3" t="s">
        <v>223</v>
      </c>
      <c r="C152" s="17"/>
      <c r="D152" s="81"/>
      <c r="E152" s="17" t="s">
        <v>103</v>
      </c>
      <c r="F152" s="124">
        <v>20</v>
      </c>
      <c r="G152" s="14">
        <f>IF(D152=0,0,IF(D152*F152&lt;$F$10,$F$10,D152*F152))</f>
        <v>0</v>
      </c>
      <c r="H152" s="419">
        <v>20</v>
      </c>
      <c r="I152" s="163">
        <f>IF(D152=0,0,IF(D152*H152&lt;$H$10,$H$10,D152*H152))</f>
        <v>0</v>
      </c>
      <c r="J152" s="121" t="s">
        <v>333</v>
      </c>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row>
    <row r="153" spans="1:94" x14ac:dyDescent="0.25">
      <c r="A153" s="310"/>
      <c r="B153" s="309" t="s">
        <v>225</v>
      </c>
      <c r="C153" s="5">
        <v>14.11</v>
      </c>
      <c r="D153" s="79"/>
      <c r="E153" s="5"/>
      <c r="F153" s="311"/>
      <c r="G153" s="7"/>
      <c r="H153" s="249"/>
      <c r="I153" s="158"/>
      <c r="J153" s="125"/>
    </row>
    <row r="154" spans="1:94" x14ac:dyDescent="0.25">
      <c r="A154" s="310"/>
      <c r="B154" s="368" t="s">
        <v>518</v>
      </c>
      <c r="C154" s="313" t="s">
        <v>98</v>
      </c>
      <c r="D154" s="306"/>
      <c r="E154" s="313"/>
      <c r="F154" s="359"/>
      <c r="G154" s="130"/>
      <c r="H154" s="333"/>
      <c r="I154" s="333"/>
      <c r="J154" s="326" t="s">
        <v>334</v>
      </c>
    </row>
    <row r="155" spans="1:94" x14ac:dyDescent="0.25">
      <c r="A155" s="310"/>
      <c r="B155" s="51" t="s">
        <v>243</v>
      </c>
      <c r="C155" s="64"/>
      <c r="D155" s="46"/>
      <c r="E155" s="64"/>
      <c r="F155" s="369"/>
      <c r="G155" s="47"/>
      <c r="H155" s="330"/>
      <c r="I155" s="330"/>
      <c r="J155" s="475" t="s">
        <v>330</v>
      </c>
    </row>
    <row r="156" spans="1:94" ht="15" customHeight="1" x14ac:dyDescent="0.25">
      <c r="A156" s="310"/>
      <c r="B156" s="318" t="s">
        <v>478</v>
      </c>
      <c r="C156" s="313"/>
      <c r="D156" s="306"/>
      <c r="E156" s="313" t="s">
        <v>368</v>
      </c>
      <c r="F156" s="354">
        <v>7000</v>
      </c>
      <c r="G156" s="333">
        <f>IF(D156=0,0,IF(D156&lt;=14,F156,"error"))</f>
        <v>0</v>
      </c>
      <c r="H156" s="416">
        <v>7000</v>
      </c>
      <c r="I156" s="82">
        <f>IF(D156=0,0,IF(D156&lt;=14,H156,"error"))</f>
        <v>0</v>
      </c>
      <c r="J156" s="476"/>
    </row>
    <row r="157" spans="1:94" ht="15" customHeight="1" x14ac:dyDescent="0.25">
      <c r="A157" s="310"/>
      <c r="B157" s="51" t="s">
        <v>519</v>
      </c>
      <c r="C157" s="64"/>
      <c r="D157" s="46"/>
      <c r="E157" s="64" t="s">
        <v>368</v>
      </c>
      <c r="F157" s="356">
        <v>19600</v>
      </c>
      <c r="G157" s="330">
        <f>IF(D157=0,0,IF(D157&lt;=14,F157,"error"))</f>
        <v>0</v>
      </c>
      <c r="H157" s="417">
        <v>19600</v>
      </c>
      <c r="I157" s="58">
        <f>IF(D157=0,0,IF(D157&lt;=14,H157,"error"))</f>
        <v>0</v>
      </c>
      <c r="J157" s="476"/>
    </row>
    <row r="158" spans="1:94" ht="15" customHeight="1" x14ac:dyDescent="0.25">
      <c r="A158" s="310"/>
      <c r="B158" s="51" t="s">
        <v>370</v>
      </c>
      <c r="C158" s="64"/>
      <c r="D158" s="46"/>
      <c r="E158" s="64"/>
      <c r="F158" s="356"/>
      <c r="G158" s="330"/>
      <c r="H158" s="417"/>
      <c r="I158" s="58"/>
      <c r="J158" s="476"/>
    </row>
    <row r="159" spans="1:94" ht="15" customHeight="1" x14ac:dyDescent="0.25">
      <c r="A159" s="310"/>
      <c r="B159" s="51" t="s">
        <v>478</v>
      </c>
      <c r="C159" s="64"/>
      <c r="D159" s="46"/>
      <c r="E159" s="64" t="s">
        <v>368</v>
      </c>
      <c r="F159" s="356">
        <v>7000</v>
      </c>
      <c r="G159" s="330">
        <f>IF(D159=0,0,IF(AND(D159&gt;14,D159&lt;=30),F159,"error"))</f>
        <v>0</v>
      </c>
      <c r="H159" s="417">
        <v>7000</v>
      </c>
      <c r="I159" s="58">
        <f>IF(D159=0,0,IF(AND(D159&gt;14,D159&lt;=30),H159,"error"))</f>
        <v>0</v>
      </c>
      <c r="J159" s="476"/>
    </row>
    <row r="160" spans="1:94" ht="15" customHeight="1" x14ac:dyDescent="0.25">
      <c r="A160" s="310"/>
      <c r="B160" s="52" t="s">
        <v>519</v>
      </c>
      <c r="C160" s="66"/>
      <c r="D160" s="49"/>
      <c r="E160" s="66" t="s">
        <v>368</v>
      </c>
      <c r="F160" s="360">
        <v>39500</v>
      </c>
      <c r="G160" s="331">
        <f>IF(D160=0,0,IF(AND(D160&gt;14,D160&lt;=30),F160,"error"))</f>
        <v>0</v>
      </c>
      <c r="H160" s="420">
        <v>39500</v>
      </c>
      <c r="I160" s="60">
        <f>IF(D160=0,0,IF(AND(D160&gt;14,D160&lt;=30),H160,"error"))</f>
        <v>0</v>
      </c>
      <c r="J160" s="490"/>
    </row>
    <row r="161" spans="1:10" ht="38.25" x14ac:dyDescent="0.25">
      <c r="A161" s="310"/>
      <c r="B161" s="42" t="s">
        <v>101</v>
      </c>
      <c r="C161" s="61" t="s">
        <v>100</v>
      </c>
      <c r="D161" s="43"/>
      <c r="E161" s="61"/>
      <c r="F161" s="370"/>
      <c r="G161" s="44"/>
      <c r="H161" s="332"/>
      <c r="I161" s="56"/>
      <c r="J161" s="351" t="s">
        <v>335</v>
      </c>
    </row>
    <row r="162" spans="1:10" x14ac:dyDescent="0.25">
      <c r="A162" s="310"/>
      <c r="B162" s="318" t="s">
        <v>479</v>
      </c>
      <c r="C162" s="313"/>
      <c r="D162" s="306"/>
      <c r="E162" s="313" t="s">
        <v>265</v>
      </c>
      <c r="F162" s="359">
        <v>1800</v>
      </c>
      <c r="G162" s="130">
        <f>D162*F162</f>
        <v>0</v>
      </c>
      <c r="H162" s="416">
        <v>1800</v>
      </c>
      <c r="I162" s="82">
        <f>D162*H162</f>
        <v>0</v>
      </c>
      <c r="J162" s="326" t="s">
        <v>336</v>
      </c>
    </row>
    <row r="163" spans="1:10" x14ac:dyDescent="0.25">
      <c r="A163" s="310"/>
      <c r="B163" s="3" t="s">
        <v>480</v>
      </c>
      <c r="C163" s="17"/>
      <c r="D163" s="81"/>
      <c r="E163" s="17" t="s">
        <v>267</v>
      </c>
      <c r="F163" s="312">
        <v>300</v>
      </c>
      <c r="G163" s="10">
        <f>IF(D163=0,0,IF(D163*F163&lt;2100,2100,D163*F163))</f>
        <v>0</v>
      </c>
      <c r="H163" s="419">
        <v>300</v>
      </c>
      <c r="I163" s="163">
        <f>IF(D163=0,0,IF(D163*H163&lt;2100,2100,D163*H163))</f>
        <v>0</v>
      </c>
      <c r="J163" s="121" t="s">
        <v>309</v>
      </c>
    </row>
    <row r="164" spans="1:10" ht="25.5" x14ac:dyDescent="0.25">
      <c r="A164" s="310"/>
      <c r="B164" s="319" t="s">
        <v>520</v>
      </c>
      <c r="C164" s="61">
        <v>14.12</v>
      </c>
      <c r="D164" s="43"/>
      <c r="E164" s="61"/>
      <c r="F164" s="367"/>
      <c r="G164" s="332"/>
      <c r="H164" s="332"/>
      <c r="I164" s="56"/>
      <c r="J164" s="99"/>
    </row>
    <row r="165" spans="1:10" x14ac:dyDescent="0.25">
      <c r="A165" s="310"/>
      <c r="B165" s="318" t="s">
        <v>478</v>
      </c>
      <c r="C165" s="313"/>
      <c r="D165" s="306"/>
      <c r="E165" s="313" t="s">
        <v>265</v>
      </c>
      <c r="F165" s="354">
        <v>1800</v>
      </c>
      <c r="G165" s="333">
        <f>D165*F165</f>
        <v>0</v>
      </c>
      <c r="H165" s="416">
        <v>1800</v>
      </c>
      <c r="I165" s="82">
        <f>D165*H165</f>
        <v>0</v>
      </c>
      <c r="J165" s="401"/>
    </row>
    <row r="166" spans="1:10" ht="38.25" x14ac:dyDescent="0.25">
      <c r="A166" s="310"/>
      <c r="B166" s="26" t="s">
        <v>481</v>
      </c>
      <c r="C166" s="17"/>
      <c r="D166" s="80"/>
      <c r="E166" s="15" t="s">
        <v>267</v>
      </c>
      <c r="F166" s="21">
        <v>300</v>
      </c>
      <c r="G166" s="14">
        <f>IF(D166=0,0,IF(D166*F166&lt;2100,2100,D166*F166))</f>
        <v>0</v>
      </c>
      <c r="H166" s="421">
        <v>300</v>
      </c>
      <c r="I166" s="163">
        <f>IF(D166=0,0,IF(D166*H166&lt;2100,2100,D166*H166))</f>
        <v>0</v>
      </c>
      <c r="J166" s="154" t="s">
        <v>337</v>
      </c>
    </row>
    <row r="167" spans="1:10" x14ac:dyDescent="0.25">
      <c r="A167" s="310"/>
      <c r="B167" s="42" t="s">
        <v>521</v>
      </c>
      <c r="C167" s="61">
        <v>14.13</v>
      </c>
      <c r="D167" s="43"/>
      <c r="E167" s="61"/>
      <c r="F167" s="367"/>
      <c r="G167" s="332"/>
      <c r="H167" s="332"/>
      <c r="I167" s="56"/>
      <c r="J167" s="99"/>
    </row>
    <row r="168" spans="1:10" x14ac:dyDescent="0.25">
      <c r="A168" s="310"/>
      <c r="B168" s="26" t="s">
        <v>478</v>
      </c>
      <c r="C168" s="17"/>
      <c r="D168" s="81"/>
      <c r="E168" s="17" t="s">
        <v>226</v>
      </c>
      <c r="F168" s="124">
        <v>250</v>
      </c>
      <c r="G168" s="14">
        <f>IF(D168=0,0,IF(D168*F168&lt;1250,1250,D168*F168))</f>
        <v>0</v>
      </c>
      <c r="H168" s="419">
        <v>250</v>
      </c>
      <c r="I168" s="163">
        <f>IF(D168=0,0,IF(D168*H168&lt;1250,1250,D168*H168))</f>
        <v>0</v>
      </c>
      <c r="J168" s="154"/>
    </row>
    <row r="169" spans="1:10" x14ac:dyDescent="0.25">
      <c r="A169" s="310"/>
      <c r="B169" s="35" t="s">
        <v>237</v>
      </c>
      <c r="C169" s="114">
        <v>14.14</v>
      </c>
      <c r="D169" s="22"/>
      <c r="E169" s="114" t="s">
        <v>226</v>
      </c>
      <c r="F169" s="124">
        <v>250</v>
      </c>
      <c r="G169" s="14">
        <f>IF(D169=0,0,IF(D169*F169&lt;1250,1250,D169*F169))</f>
        <v>0</v>
      </c>
      <c r="H169" s="419">
        <v>250</v>
      </c>
      <c r="I169" s="163">
        <f>IF(D169=0,0,IF(D169*H169&lt;1250,1250,D169*H169))</f>
        <v>0</v>
      </c>
      <c r="J169" s="120"/>
    </row>
    <row r="170" spans="1:10" x14ac:dyDescent="0.25">
      <c r="A170" s="310"/>
      <c r="B170" s="119" t="s">
        <v>66</v>
      </c>
      <c r="C170" s="114"/>
      <c r="D170" s="22"/>
      <c r="E170" s="114"/>
      <c r="F170" s="124"/>
      <c r="G170" s="25">
        <f>SUM(G133:G169)</f>
        <v>0</v>
      </c>
      <c r="H170" s="315"/>
      <c r="I170" s="25">
        <f>SUM(I133:I169)</f>
        <v>0</v>
      </c>
      <c r="J170" s="120"/>
    </row>
    <row r="171" spans="1:10" x14ac:dyDescent="0.25">
      <c r="A171" s="310"/>
      <c r="B171" s="35" t="s">
        <v>522</v>
      </c>
      <c r="C171" s="114">
        <v>14.16</v>
      </c>
      <c r="D171" s="22"/>
      <c r="E171" s="126">
        <v>0.05</v>
      </c>
      <c r="F171" s="261"/>
      <c r="G171" s="315">
        <f>G170*E171/100</f>
        <v>0</v>
      </c>
      <c r="H171" s="315"/>
      <c r="I171" s="115">
        <f>I170*E171/100</f>
        <v>0</v>
      </c>
      <c r="J171" s="120" t="s">
        <v>502</v>
      </c>
    </row>
    <row r="172" spans="1:10" s="12" customFormat="1" x14ac:dyDescent="0.25">
      <c r="A172" s="322"/>
      <c r="B172" s="119" t="s">
        <v>402</v>
      </c>
      <c r="C172" s="340"/>
      <c r="D172" s="345"/>
      <c r="E172" s="345"/>
      <c r="F172" s="32"/>
      <c r="G172" s="329">
        <f>SUM(G134:G171)</f>
        <v>0</v>
      </c>
      <c r="H172" s="38"/>
      <c r="I172" s="392">
        <f>SUM(I134:I171)</f>
        <v>0</v>
      </c>
      <c r="J172" s="325"/>
    </row>
    <row r="173" spans="1:10" x14ac:dyDescent="0.25">
      <c r="A173" s="304"/>
      <c r="B173" s="346"/>
      <c r="C173" s="317"/>
      <c r="D173" s="114"/>
      <c r="E173" s="114"/>
      <c r="F173" s="115"/>
      <c r="G173" s="315"/>
      <c r="H173" s="115"/>
      <c r="I173" s="115"/>
      <c r="J173" s="414"/>
    </row>
    <row r="174" spans="1:10" s="12" customFormat="1" x14ac:dyDescent="0.25">
      <c r="A174" s="151">
        <v>7</v>
      </c>
      <c r="B174" s="4" t="s">
        <v>393</v>
      </c>
      <c r="C174" s="343"/>
      <c r="D174" s="322"/>
      <c r="E174" s="343"/>
      <c r="F174" s="350"/>
      <c r="G174" s="329">
        <f>G42+G50+G95+G111+G130+G172</f>
        <v>18402.942000000003</v>
      </c>
      <c r="H174" s="394"/>
      <c r="I174" s="329">
        <f>I42+I50+I95+I111+I130+I172</f>
        <v>19943.377</v>
      </c>
      <c r="J174" s="344"/>
    </row>
    <row r="175" spans="1:10" s="12" customFormat="1" ht="38.25" x14ac:dyDescent="0.25">
      <c r="A175" s="149">
        <v>8</v>
      </c>
      <c r="B175" s="127" t="s">
        <v>526</v>
      </c>
      <c r="C175" s="5">
        <v>1.1200000000000001</v>
      </c>
      <c r="D175" s="79"/>
      <c r="E175" s="128">
        <v>0.2</v>
      </c>
      <c r="F175" s="7"/>
      <c r="G175" s="249">
        <f>(G174-G10-G12-G13-G14)*0.2</f>
        <v>3383.3884000000007</v>
      </c>
      <c r="H175" s="249"/>
      <c r="I175" s="158">
        <f>I174*0.2</f>
        <v>3988.6754000000001</v>
      </c>
      <c r="J175" s="118" t="s">
        <v>338</v>
      </c>
    </row>
    <row r="176" spans="1:10" x14ac:dyDescent="0.25">
      <c r="A176" s="345">
        <v>9</v>
      </c>
      <c r="B176" s="35" t="s">
        <v>31</v>
      </c>
      <c r="C176" s="361"/>
      <c r="D176" s="28"/>
      <c r="E176" s="28"/>
      <c r="F176" s="336"/>
      <c r="G176" s="38">
        <f>SUM(G174:G175)</f>
        <v>21786.330400000003</v>
      </c>
      <c r="H176" s="336"/>
      <c r="I176" s="269">
        <f>SUM(I174:I175)</f>
        <v>23932.0524</v>
      </c>
      <c r="J176" s="111"/>
    </row>
    <row r="177" spans="1:94" x14ac:dyDescent="0.25">
      <c r="A177" s="219"/>
      <c r="B177" s="27"/>
      <c r="C177" s="27"/>
      <c r="D177" s="27"/>
      <c r="E177" s="27"/>
      <c r="F177" s="6"/>
      <c r="G177" s="337"/>
      <c r="H177" s="6"/>
      <c r="I177" s="6"/>
      <c r="J177" s="145"/>
    </row>
    <row r="178" spans="1:94" ht="15.75" customHeight="1" x14ac:dyDescent="0.25">
      <c r="A178" s="467" t="s">
        <v>71</v>
      </c>
      <c r="B178" s="468"/>
      <c r="C178" s="468"/>
      <c r="D178" s="468"/>
      <c r="E178" s="483"/>
      <c r="F178" s="469" t="s">
        <v>180</v>
      </c>
      <c r="G178" s="469"/>
      <c r="H178" s="496" t="s">
        <v>544</v>
      </c>
      <c r="I178" s="497"/>
      <c r="J178" s="98" t="s">
        <v>528</v>
      </c>
    </row>
    <row r="179" spans="1:94" x14ac:dyDescent="0.25">
      <c r="A179" s="149" t="s">
        <v>1</v>
      </c>
      <c r="B179" s="500" t="s">
        <v>2</v>
      </c>
      <c r="C179" s="500" t="s">
        <v>3</v>
      </c>
      <c r="D179" s="500" t="s">
        <v>4</v>
      </c>
      <c r="E179" s="500" t="s">
        <v>5</v>
      </c>
      <c r="F179" s="9" t="s">
        <v>6</v>
      </c>
      <c r="G179" s="19" t="s">
        <v>7</v>
      </c>
      <c r="H179" s="149" t="s">
        <v>6</v>
      </c>
      <c r="I179" s="19" t="s">
        <v>7</v>
      </c>
      <c r="J179" s="482"/>
    </row>
    <row r="180" spans="1:94" x14ac:dyDescent="0.25">
      <c r="A180" s="151" t="s">
        <v>8</v>
      </c>
      <c r="B180" s="501"/>
      <c r="C180" s="501"/>
      <c r="D180" s="501"/>
      <c r="E180" s="501"/>
      <c r="F180" s="151" t="s">
        <v>10</v>
      </c>
      <c r="G180" s="20" t="s">
        <v>10</v>
      </c>
      <c r="H180" s="151" t="s">
        <v>10</v>
      </c>
      <c r="I180" s="20" t="s">
        <v>10</v>
      </c>
      <c r="J180" s="482"/>
    </row>
    <row r="181" spans="1:94" s="28" customFormat="1" ht="51" x14ac:dyDescent="0.25">
      <c r="A181" s="9">
        <v>10</v>
      </c>
      <c r="B181" s="35" t="s">
        <v>11</v>
      </c>
      <c r="C181" s="317" t="s">
        <v>507</v>
      </c>
      <c r="D181" s="22">
        <v>1</v>
      </c>
      <c r="E181" s="114" t="s">
        <v>12</v>
      </c>
      <c r="F181" s="25">
        <v>743</v>
      </c>
      <c r="G181" s="315">
        <f>ROUND(D181*F181,2)</f>
        <v>743</v>
      </c>
      <c r="H181" s="315">
        <v>966</v>
      </c>
      <c r="I181" s="115">
        <f>D181*H181</f>
        <v>966</v>
      </c>
      <c r="J181" s="154" t="s">
        <v>545</v>
      </c>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row>
    <row r="182" spans="1:94" s="27" customFormat="1" ht="89.25" x14ac:dyDescent="0.25">
      <c r="A182" s="9"/>
      <c r="B182" s="42" t="s">
        <v>510</v>
      </c>
      <c r="C182" s="61" t="s">
        <v>508</v>
      </c>
      <c r="D182" s="43"/>
      <c r="E182" s="61"/>
      <c r="F182" s="44"/>
      <c r="G182" s="332"/>
      <c r="H182" s="44"/>
      <c r="I182" s="332"/>
      <c r="J182" s="99" t="s">
        <v>503</v>
      </c>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row>
    <row r="183" spans="1:94" x14ac:dyDescent="0.25">
      <c r="A183" s="9"/>
      <c r="B183" s="45" t="s">
        <v>14</v>
      </c>
      <c r="C183" s="64">
        <v>1.3</v>
      </c>
      <c r="D183" s="46">
        <v>1</v>
      </c>
      <c r="E183" s="64" t="s">
        <v>12</v>
      </c>
      <c r="F183" s="47">
        <f>$F$10</f>
        <v>743</v>
      </c>
      <c r="G183" s="330">
        <f>ROUND(D183*F183,2)</f>
        <v>743</v>
      </c>
      <c r="H183" s="47">
        <f>$H$10</f>
        <v>966</v>
      </c>
      <c r="I183" s="330">
        <f>D183*H183</f>
        <v>966</v>
      </c>
      <c r="J183" s="100"/>
    </row>
    <row r="184" spans="1:94" x14ac:dyDescent="0.25">
      <c r="A184" s="9"/>
      <c r="B184" s="45" t="s">
        <v>35</v>
      </c>
      <c r="C184" s="64">
        <v>1.3</v>
      </c>
      <c r="D184" s="46"/>
      <c r="E184" s="64" t="s">
        <v>12</v>
      </c>
      <c r="F184" s="47">
        <f>$F$10*2</f>
        <v>1486</v>
      </c>
      <c r="G184" s="330">
        <f>ROUND(D184*F184,2)</f>
        <v>0</v>
      </c>
      <c r="H184" s="47">
        <f>$H$10*2</f>
        <v>1932</v>
      </c>
      <c r="I184" s="330">
        <f>D184*H184</f>
        <v>0</v>
      </c>
      <c r="J184" s="100"/>
    </row>
    <row r="185" spans="1:94" s="16" customFormat="1" x14ac:dyDescent="0.25">
      <c r="A185" s="9"/>
      <c r="B185" s="48" t="s">
        <v>111</v>
      </c>
      <c r="C185" s="66">
        <v>1.3</v>
      </c>
      <c r="D185" s="49"/>
      <c r="E185" s="66" t="s">
        <v>12</v>
      </c>
      <c r="F185" s="50">
        <f>$F$10*3</f>
        <v>2229</v>
      </c>
      <c r="G185" s="331">
        <f>ROUND(D185*F185,2)</f>
        <v>0</v>
      </c>
      <c r="H185" s="50">
        <f>$H$10*3</f>
        <v>2898</v>
      </c>
      <c r="I185" s="331">
        <f>D185*H185</f>
        <v>0</v>
      </c>
      <c r="J185" s="101"/>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row>
    <row r="186" spans="1:94" s="27" customFormat="1" x14ac:dyDescent="0.25">
      <c r="A186" s="9"/>
      <c r="B186" s="42" t="s">
        <v>512</v>
      </c>
      <c r="C186" s="61">
        <v>4.5</v>
      </c>
      <c r="D186" s="171"/>
      <c r="E186" s="61"/>
      <c r="F186" s="44"/>
      <c r="G186" s="332"/>
      <c r="H186" s="332"/>
      <c r="I186" s="56"/>
      <c r="J186" s="105"/>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row>
    <row r="187" spans="1:94" ht="38.25" x14ac:dyDescent="0.25">
      <c r="A187" s="9"/>
      <c r="B187" s="88" t="s">
        <v>482</v>
      </c>
      <c r="C187" s="64" t="s">
        <v>19</v>
      </c>
      <c r="D187" s="172">
        <v>1</v>
      </c>
      <c r="E187" s="64" t="s">
        <v>60</v>
      </c>
      <c r="F187" s="47">
        <f>ROUND($F$10/4,2)</f>
        <v>185.75</v>
      </c>
      <c r="G187" s="330">
        <f>ROUND(D187*F187,2)</f>
        <v>185.75</v>
      </c>
      <c r="H187" s="330">
        <f>$H$10/4</f>
        <v>241.5</v>
      </c>
      <c r="I187" s="58">
        <f t="shared" ref="I187:I188" si="13">D187*H187</f>
        <v>241.5</v>
      </c>
      <c r="J187" s="327" t="s">
        <v>558</v>
      </c>
    </row>
    <row r="188" spans="1:94" s="16" customFormat="1" ht="38.25" x14ac:dyDescent="0.25">
      <c r="A188" s="9"/>
      <c r="B188" s="89" t="s">
        <v>483</v>
      </c>
      <c r="C188" s="66" t="s">
        <v>19</v>
      </c>
      <c r="D188" s="52"/>
      <c r="E188" s="66" t="s">
        <v>60</v>
      </c>
      <c r="F188" s="50">
        <f>ROUND($F$10/2,2)</f>
        <v>371.5</v>
      </c>
      <c r="G188" s="331">
        <f>ROUND(D188*F188,2)</f>
        <v>0</v>
      </c>
      <c r="H188" s="331">
        <f>$H$10/2</f>
        <v>483</v>
      </c>
      <c r="I188" s="60">
        <f t="shared" si="13"/>
        <v>0</v>
      </c>
      <c r="J188" s="328" t="s">
        <v>557</v>
      </c>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row>
    <row r="189" spans="1:94" s="27" customFormat="1" x14ac:dyDescent="0.25">
      <c r="A189" s="9"/>
      <c r="B189" s="92" t="s">
        <v>513</v>
      </c>
      <c r="C189" s="61">
        <v>4.5999999999999996</v>
      </c>
      <c r="D189" s="83"/>
      <c r="E189" s="61"/>
      <c r="F189" s="83"/>
      <c r="G189" s="332"/>
      <c r="H189" s="413"/>
      <c r="I189" s="56"/>
      <c r="J189" s="99" t="s">
        <v>489</v>
      </c>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row>
    <row r="190" spans="1:94" ht="25.5" x14ac:dyDescent="0.25">
      <c r="A190" s="310"/>
      <c r="B190" s="91" t="s">
        <v>484</v>
      </c>
      <c r="C190" s="64" t="s">
        <v>107</v>
      </c>
      <c r="D190" s="45"/>
      <c r="E190" s="64" t="s">
        <v>12</v>
      </c>
      <c r="F190" s="47">
        <f>ROUND($F$10*1.25,2)</f>
        <v>928.75</v>
      </c>
      <c r="G190" s="330">
        <f>ROUND(D190*F190,2)</f>
        <v>0</v>
      </c>
      <c r="H190" s="330">
        <f>$H$10*1.25</f>
        <v>1207.5</v>
      </c>
      <c r="I190" s="58">
        <f>D190*H190</f>
        <v>0</v>
      </c>
      <c r="J190" s="165" t="s">
        <v>374</v>
      </c>
    </row>
    <row r="191" spans="1:94" ht="25.5" x14ac:dyDescent="0.25">
      <c r="A191" s="310"/>
      <c r="B191" s="91" t="s">
        <v>485</v>
      </c>
      <c r="C191" s="64" t="s">
        <v>108</v>
      </c>
      <c r="D191" s="45"/>
      <c r="E191" s="64" t="s">
        <v>12</v>
      </c>
      <c r="F191" s="47">
        <f>ROUND($F$10*1.5,2)</f>
        <v>1114.5</v>
      </c>
      <c r="G191" s="330">
        <f>ROUND(D191*F191,2)</f>
        <v>0</v>
      </c>
      <c r="H191" s="330">
        <f>$H$10*1.5</f>
        <v>1449</v>
      </c>
      <c r="I191" s="58">
        <f>D191*H191</f>
        <v>0</v>
      </c>
      <c r="J191" s="165" t="s">
        <v>375</v>
      </c>
    </row>
    <row r="192" spans="1:94" s="16" customFormat="1" ht="25.5" x14ac:dyDescent="0.25">
      <c r="A192" s="310"/>
      <c r="B192" s="117" t="s">
        <v>486</v>
      </c>
      <c r="C192" s="66" t="s">
        <v>109</v>
      </c>
      <c r="D192" s="48"/>
      <c r="E192" s="66" t="s">
        <v>12</v>
      </c>
      <c r="F192" s="50">
        <v>900</v>
      </c>
      <c r="G192" s="331">
        <f>ROUND(D192*F192,2)</f>
        <v>0</v>
      </c>
      <c r="H192" s="331">
        <v>900</v>
      </c>
      <c r="I192" s="60">
        <f>D192*H192</f>
        <v>0</v>
      </c>
      <c r="J192" s="174" t="s">
        <v>376</v>
      </c>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row>
    <row r="193" spans="1:94" s="27" customFormat="1" x14ac:dyDescent="0.25">
      <c r="A193" s="310"/>
      <c r="B193" s="362" t="s">
        <v>353</v>
      </c>
      <c r="C193" s="61">
        <v>4.7</v>
      </c>
      <c r="D193" s="83"/>
      <c r="E193" s="61"/>
      <c r="F193" s="44"/>
      <c r="G193" s="332"/>
      <c r="H193" s="332"/>
      <c r="I193" s="56"/>
      <c r="J193" s="99"/>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row>
    <row r="194" spans="1:94" ht="38.25" x14ac:dyDescent="0.25">
      <c r="A194" s="310"/>
      <c r="B194" s="374" t="s">
        <v>450</v>
      </c>
      <c r="C194" s="66">
        <v>1.9</v>
      </c>
      <c r="D194" s="48"/>
      <c r="E194" s="66" t="s">
        <v>12</v>
      </c>
      <c r="F194" s="50">
        <f>ROUND($F$10*1.2,2)</f>
        <v>891.6</v>
      </c>
      <c r="G194" s="50">
        <f>ROUND(D194*F194,2)</f>
        <v>0</v>
      </c>
      <c r="H194" s="331">
        <f>$H$10*1.2</f>
        <v>1159.2</v>
      </c>
      <c r="I194" s="60">
        <f>D194*H194</f>
        <v>0</v>
      </c>
      <c r="J194" s="102" t="s">
        <v>404</v>
      </c>
    </row>
    <row r="195" spans="1:94" ht="25.5" x14ac:dyDescent="0.25">
      <c r="A195" s="149">
        <v>11</v>
      </c>
      <c r="B195" s="366" t="s">
        <v>529</v>
      </c>
      <c r="C195" s="391">
        <v>4.0999999999999996</v>
      </c>
      <c r="D195" s="55"/>
      <c r="E195" s="43"/>
      <c r="F195" s="56"/>
      <c r="G195" s="44"/>
      <c r="H195" s="56"/>
      <c r="I195" s="274"/>
      <c r="J195" s="99" t="s">
        <v>506</v>
      </c>
    </row>
    <row r="196" spans="1:94" x14ac:dyDescent="0.25">
      <c r="A196" s="9"/>
      <c r="B196" s="57" t="s">
        <v>539</v>
      </c>
      <c r="C196" s="46" t="s">
        <v>76</v>
      </c>
      <c r="D196" s="286"/>
      <c r="E196" s="46" t="s">
        <v>69</v>
      </c>
      <c r="F196" s="58">
        <f>ROUND($F$10*3.75,2)</f>
        <v>2786.25</v>
      </c>
      <c r="G196" s="47">
        <f>ROUND(D196*F196,2)</f>
        <v>0</v>
      </c>
      <c r="H196" s="58">
        <f>$H$10*3.75</f>
        <v>3622.5</v>
      </c>
      <c r="I196" s="275">
        <f>D196*H196</f>
        <v>0</v>
      </c>
      <c r="J196" s="100" t="s">
        <v>195</v>
      </c>
    </row>
    <row r="197" spans="1:94" x14ac:dyDescent="0.25">
      <c r="A197" s="151"/>
      <c r="B197" s="59" t="s">
        <v>447</v>
      </c>
      <c r="C197" s="49" t="s">
        <v>76</v>
      </c>
      <c r="D197" s="287"/>
      <c r="E197" s="49" t="s">
        <v>69</v>
      </c>
      <c r="F197" s="58">
        <f>ROUND($F$10*5.5,2)</f>
        <v>4086.5</v>
      </c>
      <c r="G197" s="47">
        <f>ROUND(D197*F197,2)</f>
        <v>0</v>
      </c>
      <c r="H197" s="58">
        <f>$H$10*5.5</f>
        <v>5313</v>
      </c>
      <c r="I197" s="275">
        <f>D197*H197</f>
        <v>0</v>
      </c>
      <c r="J197" s="101" t="s">
        <v>196</v>
      </c>
    </row>
    <row r="198" spans="1:94" x14ac:dyDescent="0.25">
      <c r="A198" s="149">
        <v>12</v>
      </c>
      <c r="B198" s="42" t="s">
        <v>36</v>
      </c>
      <c r="C198" s="76">
        <v>4.1399999999999997</v>
      </c>
      <c r="D198" s="171"/>
      <c r="E198" s="61"/>
      <c r="F198" s="44"/>
      <c r="G198" s="44"/>
      <c r="H198" s="332"/>
      <c r="I198" s="274"/>
      <c r="J198" s="105"/>
    </row>
    <row r="199" spans="1:94" x14ac:dyDescent="0.25">
      <c r="A199" s="9"/>
      <c r="B199" s="51" t="s">
        <v>144</v>
      </c>
      <c r="C199" s="73"/>
      <c r="D199" s="172"/>
      <c r="E199" s="64"/>
      <c r="F199" s="67"/>
      <c r="G199" s="47"/>
      <c r="H199" s="422"/>
      <c r="I199" s="275"/>
      <c r="J199" s="100" t="s">
        <v>165</v>
      </c>
    </row>
    <row r="200" spans="1:94" ht="38.25" x14ac:dyDescent="0.25">
      <c r="A200" s="9"/>
      <c r="B200" s="45" t="s">
        <v>540</v>
      </c>
      <c r="C200" s="73">
        <v>4.1399999999999997</v>
      </c>
      <c r="D200" s="46"/>
      <c r="E200" s="46" t="s">
        <v>69</v>
      </c>
      <c r="F200" s="47">
        <f>ROUND($F$10*2.5,2)</f>
        <v>1857.5</v>
      </c>
      <c r="G200" s="47">
        <f>ROUND(D200*F200,2)</f>
        <v>0</v>
      </c>
      <c r="H200" s="330">
        <f>$H$10*2.5</f>
        <v>2415</v>
      </c>
      <c r="I200" s="275">
        <f>D200*H200</f>
        <v>0</v>
      </c>
      <c r="J200" s="165" t="s">
        <v>193</v>
      </c>
    </row>
    <row r="201" spans="1:94" x14ac:dyDescent="0.25">
      <c r="A201" s="9"/>
      <c r="B201" s="45" t="s">
        <v>148</v>
      </c>
      <c r="C201" s="46">
        <v>4.1399999999999997</v>
      </c>
      <c r="D201" s="46"/>
      <c r="E201" s="46" t="s">
        <v>69</v>
      </c>
      <c r="F201" s="47">
        <f>ROUND($F$10*3,2)</f>
        <v>2229</v>
      </c>
      <c r="G201" s="47">
        <f>ROUND(D201*F201,2)</f>
        <v>0</v>
      </c>
      <c r="H201" s="330">
        <f>$H$10*3</f>
        <v>2898</v>
      </c>
      <c r="I201" s="275">
        <f t="shared" ref="I201:I204" si="14">D201*H201</f>
        <v>0</v>
      </c>
      <c r="J201" s="100" t="s">
        <v>194</v>
      </c>
    </row>
    <row r="202" spans="1:94" x14ac:dyDescent="0.25">
      <c r="A202" s="9"/>
      <c r="B202" s="51" t="s">
        <v>147</v>
      </c>
      <c r="C202" s="77"/>
      <c r="D202" s="51"/>
      <c r="E202" s="78"/>
      <c r="F202" s="67"/>
      <c r="G202" s="47"/>
      <c r="H202" s="422"/>
      <c r="I202" s="275">
        <f>D202*H202</f>
        <v>0</v>
      </c>
      <c r="J202" s="100" t="s">
        <v>165</v>
      </c>
    </row>
    <row r="203" spans="1:94" ht="25.5" x14ac:dyDescent="0.25">
      <c r="A203" s="9"/>
      <c r="B203" s="45" t="s">
        <v>540</v>
      </c>
      <c r="C203" s="73">
        <v>4.1399999999999997</v>
      </c>
      <c r="D203" s="46">
        <v>0.5</v>
      </c>
      <c r="E203" s="46" t="s">
        <v>69</v>
      </c>
      <c r="F203" s="47">
        <f>2*1000</f>
        <v>2000</v>
      </c>
      <c r="G203" s="47">
        <f>ROUND(D203*F203,2)</f>
        <v>1000</v>
      </c>
      <c r="H203" s="330">
        <f>2.6*1000</f>
        <v>2600</v>
      </c>
      <c r="I203" s="275">
        <f t="shared" si="14"/>
        <v>1300</v>
      </c>
      <c r="J203" s="165" t="s">
        <v>182</v>
      </c>
    </row>
    <row r="204" spans="1:94" ht="25.5" x14ac:dyDescent="0.25">
      <c r="A204" s="151"/>
      <c r="B204" s="48" t="s">
        <v>148</v>
      </c>
      <c r="C204" s="65">
        <v>4.1399999999999997</v>
      </c>
      <c r="D204" s="65"/>
      <c r="E204" s="49" t="s">
        <v>69</v>
      </c>
      <c r="F204" s="50">
        <f>2.5*1000</f>
        <v>2500</v>
      </c>
      <c r="G204" s="47">
        <f>ROUND(D204*F204,2)</f>
        <v>0</v>
      </c>
      <c r="H204" s="331">
        <f>3.25*1000</f>
        <v>3250</v>
      </c>
      <c r="I204" s="275">
        <f t="shared" si="14"/>
        <v>0</v>
      </c>
      <c r="J204" s="102" t="s">
        <v>183</v>
      </c>
    </row>
    <row r="205" spans="1:94" x14ac:dyDescent="0.25">
      <c r="A205" s="304"/>
      <c r="B205" s="346"/>
      <c r="C205" s="317"/>
      <c r="D205" s="114"/>
      <c r="E205" s="114"/>
      <c r="F205" s="115"/>
      <c r="G205" s="315"/>
      <c r="H205" s="115"/>
      <c r="I205" s="115"/>
      <c r="J205" s="414"/>
    </row>
    <row r="206" spans="1:94" x14ac:dyDescent="0.25">
      <c r="A206" s="345">
        <v>13</v>
      </c>
      <c r="B206" s="4" t="s">
        <v>530</v>
      </c>
      <c r="C206" s="23"/>
      <c r="D206" s="23"/>
      <c r="E206" s="23"/>
      <c r="F206" s="23"/>
      <c r="G206" s="329">
        <f>SUM(G181:G204)</f>
        <v>2671.75</v>
      </c>
      <c r="H206" s="26"/>
      <c r="I206" s="392">
        <f>SUM(I181:I204)</f>
        <v>3473.5</v>
      </c>
      <c r="J206" s="111"/>
    </row>
    <row r="207" spans="1:94" x14ac:dyDescent="0.25">
      <c r="A207" s="345">
        <v>14</v>
      </c>
      <c r="B207" s="33" t="s">
        <v>46</v>
      </c>
      <c r="C207" s="339"/>
      <c r="D207" s="28"/>
      <c r="E207" s="114"/>
      <c r="F207" s="315"/>
      <c r="G207" s="34">
        <f>G206</f>
        <v>2671.75</v>
      </c>
      <c r="H207" s="315"/>
      <c r="I207" s="292">
        <f>I206</f>
        <v>3473.5</v>
      </c>
      <c r="J207" s="103"/>
    </row>
    <row r="208" spans="1:94" x14ac:dyDescent="0.25">
      <c r="A208" s="41"/>
      <c r="B208" s="12"/>
      <c r="C208" s="15"/>
      <c r="E208" s="15"/>
      <c r="F208" s="161"/>
      <c r="G208" s="338"/>
      <c r="H208" s="161"/>
      <c r="I208" s="293"/>
      <c r="J208" s="307"/>
    </row>
    <row r="209" spans="1:10" ht="13.15" customHeight="1" x14ac:dyDescent="0.25">
      <c r="A209" s="471" t="s">
        <v>441</v>
      </c>
      <c r="B209" s="471"/>
      <c r="C209" s="471"/>
      <c r="D209" s="471"/>
      <c r="E209" s="471"/>
      <c r="F209" s="469" t="s">
        <v>180</v>
      </c>
      <c r="G209" s="469"/>
      <c r="H209" s="496" t="s">
        <v>544</v>
      </c>
      <c r="I209" s="497"/>
      <c r="J209" s="98" t="s">
        <v>528</v>
      </c>
    </row>
    <row r="210" spans="1:10" x14ac:dyDescent="0.25">
      <c r="A210" s="149" t="s">
        <v>1</v>
      </c>
      <c r="B210" s="500" t="s">
        <v>2</v>
      </c>
      <c r="C210" s="500" t="s">
        <v>3</v>
      </c>
      <c r="D210" s="500" t="s">
        <v>4</v>
      </c>
      <c r="E210" s="500" t="s">
        <v>5</v>
      </c>
      <c r="F210" s="9" t="s">
        <v>6</v>
      </c>
      <c r="G210" s="19" t="s">
        <v>7</v>
      </c>
      <c r="H210" s="149" t="s">
        <v>6</v>
      </c>
      <c r="I210" s="19" t="s">
        <v>7</v>
      </c>
      <c r="J210" s="482"/>
    </row>
    <row r="211" spans="1:10" x14ac:dyDescent="0.25">
      <c r="A211" s="151" t="s">
        <v>8</v>
      </c>
      <c r="B211" s="501"/>
      <c r="C211" s="501"/>
      <c r="D211" s="501"/>
      <c r="E211" s="501"/>
      <c r="F211" s="151" t="s">
        <v>10</v>
      </c>
      <c r="G211" s="20" t="s">
        <v>10</v>
      </c>
      <c r="H211" s="151" t="s">
        <v>10</v>
      </c>
      <c r="I211" s="20" t="s">
        <v>10</v>
      </c>
      <c r="J211" s="482"/>
    </row>
    <row r="212" spans="1:10" x14ac:dyDescent="0.25">
      <c r="A212" s="149">
        <v>15</v>
      </c>
      <c r="B212" s="35" t="s">
        <v>441</v>
      </c>
      <c r="C212" s="23"/>
      <c r="D212" s="23"/>
      <c r="E212" s="23"/>
      <c r="F212" s="24"/>
      <c r="G212" s="24"/>
      <c r="H212" s="336"/>
      <c r="I212" s="24"/>
      <c r="J212" s="111"/>
    </row>
    <row r="213" spans="1:10" x14ac:dyDescent="0.25">
      <c r="A213" s="310"/>
      <c r="B213" s="68" t="s">
        <v>118</v>
      </c>
      <c r="C213" s="53"/>
      <c r="D213" s="43"/>
      <c r="E213" s="43"/>
      <c r="F213" s="44"/>
      <c r="G213" s="44"/>
      <c r="H213" s="332"/>
      <c r="I213" s="44"/>
      <c r="J213" s="107"/>
    </row>
    <row r="214" spans="1:10" ht="38.25" x14ac:dyDescent="0.25">
      <c r="A214" s="310"/>
      <c r="B214" s="69" t="s">
        <v>541</v>
      </c>
      <c r="C214" s="70"/>
      <c r="D214" s="46"/>
      <c r="E214" s="71"/>
      <c r="F214" s="47"/>
      <c r="G214" s="47"/>
      <c r="H214" s="330"/>
      <c r="I214" s="47"/>
      <c r="J214" s="207"/>
    </row>
    <row r="215" spans="1:10" ht="119.25" customHeight="1" x14ac:dyDescent="0.25">
      <c r="A215" s="310"/>
      <c r="B215" s="72" t="s">
        <v>531</v>
      </c>
      <c r="C215" s="46" t="s">
        <v>533</v>
      </c>
      <c r="D215" s="46">
        <v>5</v>
      </c>
      <c r="E215" s="46" t="s">
        <v>75</v>
      </c>
      <c r="F215" s="47">
        <v>10</v>
      </c>
      <c r="G215" s="47">
        <f>ROUND(D215*F215,2)</f>
        <v>50</v>
      </c>
      <c r="H215" s="330">
        <v>10</v>
      </c>
      <c r="I215" s="47">
        <f t="shared" ref="I215:I231" si="15">D215*H215</f>
        <v>50</v>
      </c>
      <c r="J215" s="165" t="s">
        <v>168</v>
      </c>
    </row>
    <row r="216" spans="1:10" x14ac:dyDescent="0.25">
      <c r="A216" s="310"/>
      <c r="B216" s="72" t="s">
        <v>532</v>
      </c>
      <c r="C216" s="46"/>
      <c r="D216" s="46"/>
      <c r="E216" s="73"/>
      <c r="F216" s="47"/>
      <c r="G216" s="47"/>
      <c r="H216" s="330"/>
      <c r="I216" s="47"/>
      <c r="J216" s="165"/>
    </row>
    <row r="217" spans="1:10" ht="63.75" x14ac:dyDescent="0.25">
      <c r="A217" s="310"/>
      <c r="B217" s="62" t="s">
        <v>542</v>
      </c>
      <c r="C217" s="46" t="s">
        <v>42</v>
      </c>
      <c r="D217" s="46">
        <v>1</v>
      </c>
      <c r="E217" s="46" t="s">
        <v>58</v>
      </c>
      <c r="F217" s="47">
        <v>20</v>
      </c>
      <c r="G217" s="47">
        <f>IF(D217=0,0,IF(D217*F217&lt;400,400,D217*F217))</f>
        <v>400</v>
      </c>
      <c r="H217" s="330">
        <v>20</v>
      </c>
      <c r="I217" s="47">
        <f>IF(D217=0,0,IF(D217*H217&lt;400,400,D217*H217))</f>
        <v>400</v>
      </c>
      <c r="J217" s="165" t="s">
        <v>493</v>
      </c>
    </row>
    <row r="218" spans="1:10" x14ac:dyDescent="0.25">
      <c r="A218" s="310"/>
      <c r="B218" s="62" t="s">
        <v>208</v>
      </c>
      <c r="C218" s="46" t="s">
        <v>105</v>
      </c>
      <c r="D218" s="46"/>
      <c r="E218" s="46" t="s">
        <v>61</v>
      </c>
      <c r="F218" s="47">
        <v>280</v>
      </c>
      <c r="G218" s="47">
        <f>ROUND(D218*F218,2)</f>
        <v>0</v>
      </c>
      <c r="H218" s="330">
        <v>280</v>
      </c>
      <c r="I218" s="47">
        <f t="shared" si="15"/>
        <v>0</v>
      </c>
      <c r="J218" s="165" t="s">
        <v>437</v>
      </c>
    </row>
    <row r="219" spans="1:10" ht="38.25" x14ac:dyDescent="0.25">
      <c r="A219" s="310"/>
      <c r="B219" s="62" t="s">
        <v>569</v>
      </c>
      <c r="C219" s="46" t="s">
        <v>104</v>
      </c>
      <c r="D219" s="46">
        <v>100</v>
      </c>
      <c r="E219" s="46" t="s">
        <v>61</v>
      </c>
      <c r="F219" s="47">
        <v>10</v>
      </c>
      <c r="G219" s="47">
        <f>ROUND(D219*F219,2)</f>
        <v>1000</v>
      </c>
      <c r="H219" s="330">
        <v>10</v>
      </c>
      <c r="I219" s="47">
        <f>D219*H219</f>
        <v>1000</v>
      </c>
      <c r="J219" s="297" t="s">
        <v>434</v>
      </c>
    </row>
    <row r="220" spans="1:10" ht="63.75" x14ac:dyDescent="0.25">
      <c r="A220" s="310"/>
      <c r="B220" s="62" t="s">
        <v>154</v>
      </c>
      <c r="C220" s="46" t="s">
        <v>534</v>
      </c>
      <c r="D220" s="172"/>
      <c r="E220" s="46" t="s">
        <v>407</v>
      </c>
      <c r="F220" s="47">
        <v>300</v>
      </c>
      <c r="G220" s="47">
        <f>F220</f>
        <v>300</v>
      </c>
      <c r="H220" s="330">
        <v>0</v>
      </c>
      <c r="I220" s="47">
        <f>H220</f>
        <v>0</v>
      </c>
      <c r="J220" s="165" t="s">
        <v>435</v>
      </c>
    </row>
    <row r="221" spans="1:10" ht="51" x14ac:dyDescent="0.25">
      <c r="A221" s="310"/>
      <c r="B221" s="72" t="s">
        <v>155</v>
      </c>
      <c r="C221" s="46" t="s">
        <v>534</v>
      </c>
      <c r="D221" s="172"/>
      <c r="E221" s="46" t="s">
        <v>407</v>
      </c>
      <c r="F221" s="47">
        <v>100</v>
      </c>
      <c r="G221" s="47">
        <f>F221</f>
        <v>100</v>
      </c>
      <c r="H221" s="330">
        <v>0</v>
      </c>
      <c r="I221" s="47">
        <f>H221</f>
        <v>0</v>
      </c>
      <c r="J221" s="165" t="s">
        <v>438</v>
      </c>
    </row>
    <row r="222" spans="1:10" ht="25.5" x14ac:dyDescent="0.25">
      <c r="A222" s="310"/>
      <c r="B222" s="62" t="s">
        <v>205</v>
      </c>
      <c r="C222" s="46" t="s">
        <v>48</v>
      </c>
      <c r="D222" s="172"/>
      <c r="E222" s="46" t="s">
        <v>407</v>
      </c>
      <c r="F222" s="47">
        <v>500</v>
      </c>
      <c r="G222" s="47">
        <f>F222</f>
        <v>500</v>
      </c>
      <c r="H222" s="330">
        <v>0</v>
      </c>
      <c r="I222" s="47">
        <f>H222</f>
        <v>0</v>
      </c>
      <c r="J222" s="165" t="s">
        <v>494</v>
      </c>
    </row>
    <row r="223" spans="1:10" x14ac:dyDescent="0.25">
      <c r="A223" s="310"/>
      <c r="B223" s="72" t="s">
        <v>156</v>
      </c>
      <c r="C223" s="51"/>
      <c r="D223" s="46"/>
      <c r="E223" s="51"/>
      <c r="F223" s="67"/>
      <c r="G223" s="47"/>
      <c r="H223" s="422"/>
      <c r="I223" s="47"/>
      <c r="J223" s="100"/>
    </row>
    <row r="224" spans="1:10" ht="63.75" x14ac:dyDescent="0.25">
      <c r="A224" s="310"/>
      <c r="B224" s="72" t="s">
        <v>157</v>
      </c>
      <c r="C224" s="46" t="s">
        <v>534</v>
      </c>
      <c r="D224" s="172"/>
      <c r="E224" s="46" t="s">
        <v>407</v>
      </c>
      <c r="F224" s="47">
        <v>1000</v>
      </c>
      <c r="G224" s="47">
        <f>F224</f>
        <v>1000</v>
      </c>
      <c r="H224" s="330">
        <f>F224</f>
        <v>1000</v>
      </c>
      <c r="I224" s="47">
        <f>H224</f>
        <v>1000</v>
      </c>
      <c r="J224" s="165" t="s">
        <v>436</v>
      </c>
    </row>
    <row r="225" spans="1:10" x14ac:dyDescent="0.25">
      <c r="A225" s="310"/>
      <c r="B225" s="72" t="s">
        <v>158</v>
      </c>
      <c r="C225" s="46" t="s">
        <v>534</v>
      </c>
      <c r="D225" s="172"/>
      <c r="E225" s="46" t="s">
        <v>407</v>
      </c>
      <c r="F225" s="47"/>
      <c r="G225" s="47">
        <f>F225</f>
        <v>0</v>
      </c>
      <c r="H225" s="330">
        <v>0</v>
      </c>
      <c r="I225" s="47">
        <f>H225</f>
        <v>0</v>
      </c>
      <c r="J225" s="165" t="s">
        <v>167</v>
      </c>
    </row>
    <row r="226" spans="1:10" ht="12.6" customHeight="1" x14ac:dyDescent="0.25">
      <c r="A226" s="310"/>
      <c r="B226" s="74" t="s">
        <v>159</v>
      </c>
      <c r="C226" s="46"/>
      <c r="D226" s="172"/>
      <c r="E226" s="46"/>
      <c r="F226" s="47"/>
      <c r="G226" s="47"/>
      <c r="H226" s="330"/>
      <c r="I226" s="47"/>
      <c r="J226" s="473" t="s">
        <v>439</v>
      </c>
    </row>
    <row r="227" spans="1:10" x14ac:dyDescent="0.25">
      <c r="A227" s="310"/>
      <c r="B227" s="72" t="s">
        <v>50</v>
      </c>
      <c r="C227" s="46"/>
      <c r="D227" s="172"/>
      <c r="E227" s="46"/>
      <c r="F227" s="47"/>
      <c r="G227" s="47"/>
      <c r="H227" s="330"/>
      <c r="I227" s="47"/>
      <c r="J227" s="473"/>
    </row>
    <row r="228" spans="1:10" x14ac:dyDescent="0.25">
      <c r="A228" s="310"/>
      <c r="B228" s="72" t="s">
        <v>433</v>
      </c>
      <c r="C228" s="46"/>
      <c r="D228" s="46"/>
      <c r="E228" s="64" t="s">
        <v>407</v>
      </c>
      <c r="F228" s="47"/>
      <c r="G228" s="47">
        <f>F228</f>
        <v>0</v>
      </c>
      <c r="H228" s="330">
        <v>0</v>
      </c>
      <c r="I228" s="47">
        <f>H228</f>
        <v>0</v>
      </c>
      <c r="J228" s="473"/>
    </row>
    <row r="229" spans="1:10" x14ac:dyDescent="0.25">
      <c r="A229" s="310"/>
      <c r="B229" s="72" t="s">
        <v>432</v>
      </c>
      <c r="C229" s="46"/>
      <c r="D229" s="172">
        <v>500</v>
      </c>
      <c r="E229" s="46" t="s">
        <v>69</v>
      </c>
      <c r="F229" s="47">
        <v>0.5</v>
      </c>
      <c r="G229" s="47">
        <f>D229*F229</f>
        <v>250</v>
      </c>
      <c r="H229" s="330">
        <v>0.5</v>
      </c>
      <c r="I229" s="47">
        <f t="shared" si="15"/>
        <v>250</v>
      </c>
      <c r="J229" s="473"/>
    </row>
    <row r="230" spans="1:10" x14ac:dyDescent="0.25">
      <c r="A230" s="310"/>
      <c r="B230" s="72" t="s">
        <v>51</v>
      </c>
      <c r="C230" s="46" t="s">
        <v>49</v>
      </c>
      <c r="D230" s="46"/>
      <c r="E230" s="46" t="s">
        <v>407</v>
      </c>
      <c r="F230" s="47"/>
      <c r="G230" s="47">
        <f>F230</f>
        <v>0</v>
      </c>
      <c r="H230" s="330">
        <v>0</v>
      </c>
      <c r="I230" s="47">
        <f t="shared" si="15"/>
        <v>0</v>
      </c>
      <c r="J230" s="473"/>
    </row>
    <row r="231" spans="1:10" x14ac:dyDescent="0.25">
      <c r="A231" s="310"/>
      <c r="B231" s="72" t="s">
        <v>177</v>
      </c>
      <c r="C231" s="46" t="s">
        <v>49</v>
      </c>
      <c r="D231" s="46"/>
      <c r="E231" s="46" t="s">
        <v>106</v>
      </c>
      <c r="F231" s="47">
        <v>85</v>
      </c>
      <c r="G231" s="47">
        <f>D231*F231</f>
        <v>0</v>
      </c>
      <c r="H231" s="330">
        <v>85</v>
      </c>
      <c r="I231" s="47">
        <f t="shared" si="15"/>
        <v>0</v>
      </c>
      <c r="J231" s="473"/>
    </row>
    <row r="232" spans="1:10" x14ac:dyDescent="0.25">
      <c r="A232" s="310"/>
      <c r="B232" s="62" t="s">
        <v>319</v>
      </c>
      <c r="C232" s="46" t="s">
        <v>63</v>
      </c>
      <c r="D232" s="46"/>
      <c r="E232" s="64" t="s">
        <v>407</v>
      </c>
      <c r="F232" s="47">
        <v>200</v>
      </c>
      <c r="G232" s="47">
        <f>F232</f>
        <v>200</v>
      </c>
      <c r="H232" s="330">
        <v>0</v>
      </c>
      <c r="I232" s="47">
        <f>H232</f>
        <v>0</v>
      </c>
      <c r="J232" s="165"/>
    </row>
    <row r="233" spans="1:10" ht="25.5" x14ac:dyDescent="0.25">
      <c r="A233" s="310"/>
      <c r="B233" s="62" t="s">
        <v>206</v>
      </c>
      <c r="C233" s="46" t="s">
        <v>64</v>
      </c>
      <c r="D233" s="46"/>
      <c r="E233" s="64" t="s">
        <v>407</v>
      </c>
      <c r="F233" s="47"/>
      <c r="G233" s="47">
        <f>F233</f>
        <v>0</v>
      </c>
      <c r="H233" s="330">
        <v>0</v>
      </c>
      <c r="I233" s="47">
        <f>H233</f>
        <v>0</v>
      </c>
      <c r="J233" s="165"/>
    </row>
    <row r="234" spans="1:10" ht="38.25" x14ac:dyDescent="0.25">
      <c r="A234" s="310"/>
      <c r="B234" s="62" t="s">
        <v>207</v>
      </c>
      <c r="C234" s="46" t="s">
        <v>65</v>
      </c>
      <c r="D234" s="46"/>
      <c r="E234" s="64" t="s">
        <v>407</v>
      </c>
      <c r="F234" s="47"/>
      <c r="G234" s="47">
        <f>F234</f>
        <v>0</v>
      </c>
      <c r="H234" s="330">
        <v>0</v>
      </c>
      <c r="I234" s="47">
        <f>H234</f>
        <v>0</v>
      </c>
      <c r="J234" s="165"/>
    </row>
    <row r="235" spans="1:10" x14ac:dyDescent="0.25">
      <c r="A235" s="310"/>
      <c r="B235" s="62"/>
      <c r="C235" s="46"/>
      <c r="D235" s="46"/>
      <c r="E235" s="64"/>
      <c r="F235" s="47"/>
      <c r="G235" s="47"/>
      <c r="H235" s="330"/>
      <c r="I235" s="47"/>
      <c r="J235" s="165"/>
    </row>
    <row r="236" spans="1:10" x14ac:dyDescent="0.25">
      <c r="A236" s="310"/>
      <c r="B236" s="75" t="s">
        <v>200</v>
      </c>
      <c r="C236" s="70"/>
      <c r="D236" s="46"/>
      <c r="E236" s="71"/>
      <c r="F236" s="47"/>
      <c r="G236" s="47"/>
      <c r="H236" s="330"/>
      <c r="I236" s="47"/>
      <c r="J236" s="207"/>
    </row>
    <row r="237" spans="1:10" x14ac:dyDescent="0.25">
      <c r="A237" s="9"/>
      <c r="B237" s="45" t="s">
        <v>531</v>
      </c>
      <c r="C237" s="46" t="s">
        <v>533</v>
      </c>
      <c r="D237" s="46">
        <f>D215</f>
        <v>5</v>
      </c>
      <c r="E237" s="46" t="s">
        <v>75</v>
      </c>
      <c r="F237" s="47">
        <v>10</v>
      </c>
      <c r="G237" s="47">
        <f>ROUND(D237*F237,2)</f>
        <v>50</v>
      </c>
      <c r="H237" s="330"/>
      <c r="I237" s="47"/>
      <c r="J237" s="100"/>
    </row>
    <row r="238" spans="1:10" x14ac:dyDescent="0.25">
      <c r="A238" s="9"/>
      <c r="B238" s="51" t="s">
        <v>532</v>
      </c>
      <c r="C238" s="46"/>
      <c r="D238" s="46"/>
      <c r="E238" s="73"/>
      <c r="F238" s="47"/>
      <c r="G238" s="47"/>
      <c r="H238" s="330"/>
      <c r="I238" s="47"/>
      <c r="J238" s="207"/>
    </row>
    <row r="239" spans="1:10" ht="25.5" customHeight="1" x14ac:dyDescent="0.25">
      <c r="A239" s="9"/>
      <c r="B239" s="380" t="s">
        <v>440</v>
      </c>
      <c r="C239" s="46" t="s">
        <v>42</v>
      </c>
      <c r="D239" s="46">
        <f>D217</f>
        <v>1</v>
      </c>
      <c r="E239" s="46" t="s">
        <v>58</v>
      </c>
      <c r="F239" s="47">
        <v>20</v>
      </c>
      <c r="G239" s="47">
        <f>IF(D239=0,0,IF(D239*F239&lt;400,400,D239*F239))</f>
        <v>400</v>
      </c>
      <c r="H239" s="330"/>
      <c r="I239" s="47"/>
      <c r="J239" s="475" t="s">
        <v>495</v>
      </c>
    </row>
    <row r="240" spans="1:10" ht="15" customHeight="1" x14ac:dyDescent="0.25">
      <c r="A240" s="9"/>
      <c r="B240" s="72" t="s">
        <v>568</v>
      </c>
      <c r="C240" s="46" t="s">
        <v>104</v>
      </c>
      <c r="D240" s="46">
        <f>D219</f>
        <v>100</v>
      </c>
      <c r="E240" s="46" t="s">
        <v>61</v>
      </c>
      <c r="F240" s="47">
        <v>10</v>
      </c>
      <c r="G240" s="47">
        <f>D240*F240</f>
        <v>1000</v>
      </c>
      <c r="H240" s="330"/>
      <c r="I240" s="47"/>
      <c r="J240" s="477"/>
    </row>
    <row r="241" spans="1:10" ht="63.75" x14ac:dyDescent="0.25">
      <c r="A241" s="9"/>
      <c r="B241" s="380" t="s">
        <v>154</v>
      </c>
      <c r="C241" s="46" t="s">
        <v>534</v>
      </c>
      <c r="D241" s="172"/>
      <c r="E241" s="46" t="s">
        <v>407</v>
      </c>
      <c r="F241" s="47">
        <v>300</v>
      </c>
      <c r="G241" s="47">
        <f>F241</f>
        <v>300</v>
      </c>
      <c r="H241" s="330"/>
      <c r="I241" s="47"/>
      <c r="J241" s="165" t="s">
        <v>435</v>
      </c>
    </row>
    <row r="242" spans="1:10" ht="51" x14ac:dyDescent="0.25">
      <c r="A242" s="9"/>
      <c r="B242" s="380" t="s">
        <v>160</v>
      </c>
      <c r="C242" s="46" t="s">
        <v>534</v>
      </c>
      <c r="D242" s="172"/>
      <c r="E242" s="46" t="s">
        <v>407</v>
      </c>
      <c r="F242" s="47">
        <f>F221</f>
        <v>100</v>
      </c>
      <c r="G242" s="47">
        <f>F242</f>
        <v>100</v>
      </c>
      <c r="H242" s="330"/>
      <c r="I242" s="47"/>
      <c r="J242" s="165" t="s">
        <v>438</v>
      </c>
    </row>
    <row r="243" spans="1:10" x14ac:dyDescent="0.25">
      <c r="A243" s="9"/>
      <c r="B243" s="62" t="s">
        <v>156</v>
      </c>
      <c r="C243" s="51"/>
      <c r="D243" s="46"/>
      <c r="E243" s="51"/>
      <c r="F243" s="67"/>
      <c r="G243" s="47"/>
      <c r="H243" s="422"/>
      <c r="I243" s="47"/>
      <c r="J243" s="207"/>
    </row>
    <row r="244" spans="1:10" x14ac:dyDescent="0.25">
      <c r="A244" s="9"/>
      <c r="B244" s="62" t="s">
        <v>157</v>
      </c>
      <c r="C244" s="46" t="s">
        <v>534</v>
      </c>
      <c r="D244" s="172"/>
      <c r="E244" s="46" t="s">
        <v>407</v>
      </c>
      <c r="F244" s="47"/>
      <c r="G244" s="47">
        <f>F244</f>
        <v>0</v>
      </c>
      <c r="H244" s="330"/>
      <c r="I244" s="47"/>
      <c r="J244" s="165" t="s">
        <v>445</v>
      </c>
    </row>
    <row r="245" spans="1:10" x14ac:dyDescent="0.25">
      <c r="A245" s="9"/>
      <c r="B245" s="62" t="s">
        <v>158</v>
      </c>
      <c r="C245" s="46" t="s">
        <v>534</v>
      </c>
      <c r="D245" s="172"/>
      <c r="E245" s="46" t="s">
        <v>407</v>
      </c>
      <c r="F245" s="47"/>
      <c r="G245" s="47">
        <f>F245</f>
        <v>0</v>
      </c>
      <c r="H245" s="330"/>
      <c r="I245" s="47"/>
      <c r="J245" s="165" t="s">
        <v>179</v>
      </c>
    </row>
    <row r="246" spans="1:10" ht="12.75" customHeight="1" x14ac:dyDescent="0.25">
      <c r="A246" s="310"/>
      <c r="B246" s="74" t="s">
        <v>159</v>
      </c>
      <c r="C246" s="46"/>
      <c r="D246" s="172"/>
      <c r="E246" s="46"/>
      <c r="F246" s="47"/>
      <c r="G246" s="47"/>
      <c r="H246" s="330"/>
      <c r="I246" s="47"/>
      <c r="J246" s="473" t="s">
        <v>439</v>
      </c>
    </row>
    <row r="247" spans="1:10" x14ac:dyDescent="0.25">
      <c r="A247" s="310"/>
      <c r="B247" s="72" t="s">
        <v>50</v>
      </c>
      <c r="C247" s="46"/>
      <c r="D247" s="172"/>
      <c r="E247" s="46"/>
      <c r="F247" s="47"/>
      <c r="G247" s="47"/>
      <c r="H247" s="330"/>
      <c r="I247" s="47"/>
      <c r="J247" s="473"/>
    </row>
    <row r="248" spans="1:10" x14ac:dyDescent="0.25">
      <c r="A248" s="310"/>
      <c r="B248" s="72" t="s">
        <v>433</v>
      </c>
      <c r="C248" s="46"/>
      <c r="D248" s="46"/>
      <c r="E248" s="64" t="s">
        <v>407</v>
      </c>
      <c r="F248" s="47"/>
      <c r="G248" s="47">
        <f>F248</f>
        <v>0</v>
      </c>
      <c r="H248" s="330"/>
      <c r="I248" s="47"/>
      <c r="J248" s="473"/>
    </row>
    <row r="249" spans="1:10" x14ac:dyDescent="0.25">
      <c r="A249" s="310"/>
      <c r="B249" s="72" t="s">
        <v>432</v>
      </c>
      <c r="C249" s="46"/>
      <c r="D249" s="172">
        <v>500</v>
      </c>
      <c r="E249" s="46" t="s">
        <v>69</v>
      </c>
      <c r="F249" s="47">
        <v>0.5</v>
      </c>
      <c r="G249" s="47">
        <f>ROUND(D249*F249,2)</f>
        <v>250</v>
      </c>
      <c r="H249" s="330"/>
      <c r="I249" s="47"/>
      <c r="J249" s="473"/>
    </row>
    <row r="250" spans="1:10" x14ac:dyDescent="0.25">
      <c r="A250" s="310"/>
      <c r="B250" s="72" t="s">
        <v>51</v>
      </c>
      <c r="C250" s="46" t="s">
        <v>49</v>
      </c>
      <c r="D250" s="46"/>
      <c r="E250" s="46" t="s">
        <v>407</v>
      </c>
      <c r="F250" s="47"/>
      <c r="G250" s="47">
        <f>F250</f>
        <v>0</v>
      </c>
      <c r="H250" s="330"/>
      <c r="I250" s="47"/>
      <c r="J250" s="473"/>
    </row>
    <row r="251" spans="1:10" x14ac:dyDescent="0.25">
      <c r="A251" s="310"/>
      <c r="B251" s="72" t="s">
        <v>177</v>
      </c>
      <c r="C251" s="46" t="s">
        <v>49</v>
      </c>
      <c r="D251" s="46"/>
      <c r="E251" s="46" t="s">
        <v>106</v>
      </c>
      <c r="F251" s="47">
        <f>F231</f>
        <v>85</v>
      </c>
      <c r="G251" s="47">
        <f>ROUND(D251*F251,2)</f>
        <v>0</v>
      </c>
      <c r="H251" s="330"/>
      <c r="I251" s="47"/>
      <c r="J251" s="473"/>
    </row>
    <row r="252" spans="1:10" x14ac:dyDescent="0.25">
      <c r="A252" s="310"/>
      <c r="B252" s="62" t="s">
        <v>319</v>
      </c>
      <c r="C252" s="46" t="s">
        <v>63</v>
      </c>
      <c r="D252" s="46"/>
      <c r="E252" s="64" t="s">
        <v>407</v>
      </c>
      <c r="F252" s="47">
        <v>0</v>
      </c>
      <c r="G252" s="47">
        <f>F252</f>
        <v>0</v>
      </c>
      <c r="H252" s="330"/>
      <c r="I252" s="47"/>
      <c r="J252" s="165"/>
    </row>
    <row r="253" spans="1:10" x14ac:dyDescent="0.25">
      <c r="A253" s="310"/>
      <c r="B253" s="396"/>
      <c r="C253" s="80"/>
      <c r="D253" s="320"/>
      <c r="E253" s="320"/>
      <c r="F253" s="1"/>
      <c r="G253" s="321"/>
      <c r="H253" s="321"/>
      <c r="I253" s="321"/>
      <c r="J253" s="168"/>
    </row>
    <row r="254" spans="1:10" x14ac:dyDescent="0.25">
      <c r="A254" s="310"/>
      <c r="B254" s="129" t="s">
        <v>444</v>
      </c>
      <c r="C254" s="80"/>
      <c r="D254" s="80"/>
      <c r="E254" s="306" t="s">
        <v>407</v>
      </c>
      <c r="F254" s="1">
        <v>5000</v>
      </c>
      <c r="G254" s="321">
        <f>F254</f>
        <v>5000</v>
      </c>
      <c r="H254" s="321"/>
      <c r="I254" s="321"/>
      <c r="J254" s="168"/>
    </row>
    <row r="255" spans="1:10" x14ac:dyDescent="0.25">
      <c r="A255" s="310"/>
      <c r="B255" s="129"/>
      <c r="C255" s="80"/>
      <c r="D255" s="81"/>
      <c r="E255" s="15"/>
      <c r="F255" s="1"/>
      <c r="G255" s="321"/>
      <c r="H255" s="321"/>
      <c r="I255" s="321"/>
      <c r="J255" s="168"/>
    </row>
    <row r="256" spans="1:10" x14ac:dyDescent="0.25">
      <c r="A256" s="345">
        <v>16</v>
      </c>
      <c r="B256" s="36" t="s">
        <v>442</v>
      </c>
      <c r="C256" s="23"/>
      <c r="D256" s="23"/>
      <c r="E256" s="37"/>
      <c r="F256" s="25"/>
      <c r="G256" s="38">
        <f>SUM(G215:G254)</f>
        <v>10900</v>
      </c>
      <c r="H256" s="38"/>
      <c r="I256" s="38">
        <f>SUM(I215:I254)</f>
        <v>2700</v>
      </c>
      <c r="J256" s="111"/>
    </row>
    <row r="257" spans="1:10" x14ac:dyDescent="0.25">
      <c r="B257" s="12"/>
      <c r="E257" s="15"/>
      <c r="F257" s="161"/>
      <c r="G257" s="161"/>
      <c r="H257" s="161"/>
      <c r="I257" s="161"/>
    </row>
    <row r="258" spans="1:10" x14ac:dyDescent="0.25">
      <c r="C258" s="15"/>
      <c r="D258" s="15"/>
      <c r="E258" s="15"/>
      <c r="F258" s="161"/>
      <c r="G258" s="161"/>
      <c r="H258" s="161"/>
      <c r="I258" s="161"/>
    </row>
    <row r="259" spans="1:10" ht="51" x14ac:dyDescent="0.25">
      <c r="A259" s="467" t="s">
        <v>54</v>
      </c>
      <c r="B259" s="483"/>
      <c r="C259" s="146" t="s">
        <v>403</v>
      </c>
      <c r="D259" s="505"/>
      <c r="E259" s="505"/>
      <c r="F259" s="39"/>
      <c r="G259" s="40"/>
      <c r="H259" s="40"/>
      <c r="I259" s="40"/>
    </row>
    <row r="260" spans="1:10" ht="20.100000000000001" customHeight="1" x14ac:dyDescent="0.25">
      <c r="A260" s="22" t="s">
        <v>411</v>
      </c>
      <c r="B260" s="23" t="s">
        <v>419</v>
      </c>
      <c r="C260" s="381">
        <f>G176</f>
        <v>21786.330400000003</v>
      </c>
      <c r="D260" s="506"/>
      <c r="E260" s="506"/>
      <c r="F260" s="39"/>
    </row>
    <row r="261" spans="1:10" ht="20.100000000000001" customHeight="1" x14ac:dyDescent="0.25">
      <c r="A261" s="22" t="s">
        <v>412</v>
      </c>
      <c r="B261" s="23" t="s">
        <v>496</v>
      </c>
      <c r="C261" s="381">
        <f>G207</f>
        <v>2671.75</v>
      </c>
      <c r="D261" s="506"/>
      <c r="E261" s="506"/>
      <c r="F261" s="39"/>
    </row>
    <row r="262" spans="1:10" ht="20.100000000000001" customHeight="1" x14ac:dyDescent="0.25">
      <c r="A262" s="41"/>
      <c r="C262" s="382"/>
      <c r="D262" s="161"/>
      <c r="E262" s="161"/>
      <c r="F262" s="39"/>
    </row>
    <row r="263" spans="1:10" ht="20.100000000000001" customHeight="1" x14ac:dyDescent="0.25">
      <c r="A263" s="467" t="s">
        <v>414</v>
      </c>
      <c r="B263" s="468"/>
      <c r="C263" s="483"/>
      <c r="D263" s="12"/>
      <c r="E263" s="12"/>
      <c r="F263" s="39"/>
    </row>
    <row r="264" spans="1:10" ht="20.100000000000001" customHeight="1" x14ac:dyDescent="0.25">
      <c r="A264" s="81">
        <v>1</v>
      </c>
      <c r="B264" s="3" t="s">
        <v>413</v>
      </c>
      <c r="C264" s="383">
        <f>SUM(C260:C261)</f>
        <v>24458.080400000003</v>
      </c>
      <c r="D264" s="506"/>
      <c r="E264" s="506"/>
      <c r="F264" s="39"/>
    </row>
    <row r="265" spans="1:10" ht="20.100000000000001" customHeight="1" x14ac:dyDescent="0.25">
      <c r="A265" s="22">
        <v>2</v>
      </c>
      <c r="B265" s="23" t="s">
        <v>415</v>
      </c>
      <c r="C265" s="381">
        <f>G256</f>
        <v>10900</v>
      </c>
      <c r="D265" s="506"/>
      <c r="E265" s="506"/>
      <c r="F265" s="39"/>
    </row>
    <row r="266" spans="1:10" ht="20.100000000000001" customHeight="1" x14ac:dyDescent="0.25">
      <c r="A266" s="384">
        <v>3</v>
      </c>
      <c r="B266" s="385" t="s">
        <v>416</v>
      </c>
      <c r="C266" s="386">
        <f>SUM(C264:C265)</f>
        <v>35358.080400000006</v>
      </c>
      <c r="D266" s="506"/>
      <c r="E266" s="506"/>
      <c r="F266" s="40"/>
    </row>
    <row r="267" spans="1:10" ht="20.100000000000001" customHeight="1" x14ac:dyDescent="0.25">
      <c r="A267" s="22">
        <v>4</v>
      </c>
      <c r="B267" s="387" t="s">
        <v>417</v>
      </c>
      <c r="C267" s="388">
        <f>C266*0.06</f>
        <v>2121.4848240000001</v>
      </c>
      <c r="D267" s="506"/>
      <c r="E267" s="506"/>
      <c r="F267" s="8"/>
      <c r="J267" s="303"/>
    </row>
    <row r="268" spans="1:10" ht="20.100000000000001" customHeight="1" x14ac:dyDescent="0.25">
      <c r="A268" s="384">
        <v>5</v>
      </c>
      <c r="B268" s="389" t="s">
        <v>418</v>
      </c>
      <c r="C268" s="390">
        <f>(ROUND((C266+C267),2) - (0.01))</f>
        <v>37479.56</v>
      </c>
      <c r="D268" s="462" t="s">
        <v>603</v>
      </c>
      <c r="E268" s="463"/>
      <c r="F268" s="8"/>
      <c r="J268" s="305"/>
    </row>
    <row r="269" spans="1:10" x14ac:dyDescent="0.25">
      <c r="F269" s="8"/>
    </row>
    <row r="270" spans="1:10" x14ac:dyDescent="0.25">
      <c r="A270" s="397"/>
      <c r="B270" s="8" t="s">
        <v>561</v>
      </c>
      <c r="F270" s="8"/>
    </row>
    <row r="271" spans="1:10" x14ac:dyDescent="0.25">
      <c r="F271" s="8"/>
    </row>
    <row r="272" spans="1:10" x14ac:dyDescent="0.25">
      <c r="F272" s="8"/>
    </row>
    <row r="273" spans="6:6" x14ac:dyDescent="0.25">
      <c r="F273" s="8"/>
    </row>
    <row r="274" spans="6:6" x14ac:dyDescent="0.25">
      <c r="F274" s="8"/>
    </row>
    <row r="275" spans="6:6" x14ac:dyDescent="0.25">
      <c r="F275" s="8"/>
    </row>
    <row r="276" spans="6:6" x14ac:dyDescent="0.25">
      <c r="F276" s="8"/>
    </row>
    <row r="277" spans="6:6" x14ac:dyDescent="0.25">
      <c r="F277" s="8"/>
    </row>
    <row r="278" spans="6:6" x14ac:dyDescent="0.25">
      <c r="F278" s="8"/>
    </row>
    <row r="279" spans="6:6" x14ac:dyDescent="0.25">
      <c r="F279" s="8"/>
    </row>
    <row r="280" spans="6:6" x14ac:dyDescent="0.25">
      <c r="F280" s="8"/>
    </row>
    <row r="281" spans="6:6" x14ac:dyDescent="0.25">
      <c r="F281" s="8"/>
    </row>
    <row r="282" spans="6:6" x14ac:dyDescent="0.25">
      <c r="F282" s="8"/>
    </row>
    <row r="283" spans="6:6" x14ac:dyDescent="0.25">
      <c r="F283" s="8"/>
    </row>
    <row r="284" spans="6:6" x14ac:dyDescent="0.25">
      <c r="F284" s="8"/>
    </row>
    <row r="285" spans="6:6" x14ac:dyDescent="0.25">
      <c r="F285" s="8"/>
    </row>
    <row r="286" spans="6:6" x14ac:dyDescent="0.25">
      <c r="F286" s="8"/>
    </row>
    <row r="287" spans="6:6" x14ac:dyDescent="0.25">
      <c r="F287" s="8"/>
    </row>
    <row r="288" spans="6:6" x14ac:dyDescent="0.25">
      <c r="F288" s="8"/>
    </row>
    <row r="289" spans="6:6" x14ac:dyDescent="0.25">
      <c r="F289" s="8"/>
    </row>
    <row r="290" spans="6:6" x14ac:dyDescent="0.25">
      <c r="F290" s="8"/>
    </row>
    <row r="291" spans="6:6" x14ac:dyDescent="0.25">
      <c r="F291" s="8"/>
    </row>
    <row r="292" spans="6:6" x14ac:dyDescent="0.25">
      <c r="F292" s="8"/>
    </row>
    <row r="293" spans="6:6" x14ac:dyDescent="0.25">
      <c r="F293" s="8"/>
    </row>
    <row r="294" spans="6:6" x14ac:dyDescent="0.25">
      <c r="F294" s="8"/>
    </row>
    <row r="295" spans="6:6" x14ac:dyDescent="0.25">
      <c r="F295" s="8"/>
    </row>
    <row r="296" spans="6:6" x14ac:dyDescent="0.25">
      <c r="F296" s="8"/>
    </row>
    <row r="297" spans="6:6" x14ac:dyDescent="0.25">
      <c r="F297" s="8"/>
    </row>
    <row r="298" spans="6:6" x14ac:dyDescent="0.25">
      <c r="F298" s="8"/>
    </row>
    <row r="299" spans="6:6" x14ac:dyDescent="0.25">
      <c r="F299" s="8"/>
    </row>
    <row r="300" spans="6:6" x14ac:dyDescent="0.25">
      <c r="F300" s="8"/>
    </row>
    <row r="301" spans="6:6" x14ac:dyDescent="0.25">
      <c r="F301" s="8"/>
    </row>
    <row r="302" spans="6:6" x14ac:dyDescent="0.25">
      <c r="F302" s="8"/>
    </row>
    <row r="303" spans="6:6" x14ac:dyDescent="0.25">
      <c r="F303" s="8"/>
    </row>
    <row r="304" spans="6:6" x14ac:dyDescent="0.25">
      <c r="F304" s="8"/>
    </row>
    <row r="305" spans="6:6" x14ac:dyDescent="0.25">
      <c r="F305" s="8"/>
    </row>
    <row r="306" spans="6:6" x14ac:dyDescent="0.25">
      <c r="F306" s="8"/>
    </row>
    <row r="307" spans="6:6" x14ac:dyDescent="0.25">
      <c r="F307" s="8"/>
    </row>
    <row r="308" spans="6:6" x14ac:dyDescent="0.25">
      <c r="F308" s="8"/>
    </row>
    <row r="309" spans="6:6" x14ac:dyDescent="0.25">
      <c r="F309" s="8"/>
    </row>
    <row r="310" spans="6:6" x14ac:dyDescent="0.25">
      <c r="F310" s="8"/>
    </row>
    <row r="311" spans="6:6" x14ac:dyDescent="0.25">
      <c r="F311" s="8"/>
    </row>
    <row r="312" spans="6:6" x14ac:dyDescent="0.25">
      <c r="F312" s="8"/>
    </row>
    <row r="313" spans="6:6" x14ac:dyDescent="0.25">
      <c r="F313" s="8"/>
    </row>
    <row r="314" spans="6:6" x14ac:dyDescent="0.25">
      <c r="F314" s="8"/>
    </row>
    <row r="315" spans="6:6" x14ac:dyDescent="0.25">
      <c r="F315" s="8"/>
    </row>
    <row r="316" spans="6:6" x14ac:dyDescent="0.25">
      <c r="F316" s="8"/>
    </row>
    <row r="317" spans="6:6" x14ac:dyDescent="0.25">
      <c r="F317" s="8"/>
    </row>
    <row r="318" spans="6:6" x14ac:dyDescent="0.25">
      <c r="F318" s="8"/>
    </row>
    <row r="319" spans="6:6" x14ac:dyDescent="0.25">
      <c r="F319" s="8"/>
    </row>
    <row r="320" spans="6:6" x14ac:dyDescent="0.25">
      <c r="F320" s="8"/>
    </row>
    <row r="321" spans="6:6" x14ac:dyDescent="0.25">
      <c r="F321" s="8"/>
    </row>
    <row r="322" spans="6:6" x14ac:dyDescent="0.25">
      <c r="F322" s="8"/>
    </row>
    <row r="323" spans="6:6" x14ac:dyDescent="0.25">
      <c r="F323" s="8"/>
    </row>
    <row r="324" spans="6:6" x14ac:dyDescent="0.25">
      <c r="F324" s="8"/>
    </row>
    <row r="325" spans="6:6" x14ac:dyDescent="0.25">
      <c r="F325" s="8"/>
    </row>
    <row r="326" spans="6:6" x14ac:dyDescent="0.25">
      <c r="F326" s="8"/>
    </row>
    <row r="327" spans="6:6" x14ac:dyDescent="0.25">
      <c r="F327" s="8"/>
    </row>
    <row r="328" spans="6:6" x14ac:dyDescent="0.25">
      <c r="F328" s="8"/>
    </row>
    <row r="329" spans="6:6" x14ac:dyDescent="0.25">
      <c r="F329" s="8"/>
    </row>
    <row r="330" spans="6:6" x14ac:dyDescent="0.25">
      <c r="F330" s="8"/>
    </row>
    <row r="331" spans="6:6" x14ac:dyDescent="0.25">
      <c r="F331" s="8"/>
    </row>
    <row r="332" spans="6:6" x14ac:dyDescent="0.25">
      <c r="F332" s="8"/>
    </row>
    <row r="333" spans="6:6" x14ac:dyDescent="0.25">
      <c r="F333" s="8"/>
    </row>
    <row r="334" spans="6:6" x14ac:dyDescent="0.25">
      <c r="F334" s="8"/>
    </row>
    <row r="335" spans="6:6" x14ac:dyDescent="0.25">
      <c r="F335" s="8"/>
    </row>
    <row r="336" spans="6:6" x14ac:dyDescent="0.25">
      <c r="F336" s="8"/>
    </row>
    <row r="337" spans="6:6" x14ac:dyDescent="0.25">
      <c r="F337" s="8"/>
    </row>
    <row r="338" spans="6:6" x14ac:dyDescent="0.25">
      <c r="F338" s="8"/>
    </row>
    <row r="339" spans="6:6" x14ac:dyDescent="0.25">
      <c r="F339" s="8"/>
    </row>
    <row r="340" spans="6:6" x14ac:dyDescent="0.25">
      <c r="F340" s="8"/>
    </row>
    <row r="341" spans="6:6" x14ac:dyDescent="0.25">
      <c r="F341" s="8"/>
    </row>
    <row r="342" spans="6:6" x14ac:dyDescent="0.25">
      <c r="F342" s="8"/>
    </row>
    <row r="343" spans="6:6" x14ac:dyDescent="0.25">
      <c r="F343" s="8"/>
    </row>
    <row r="344" spans="6:6" x14ac:dyDescent="0.25">
      <c r="F344" s="8"/>
    </row>
    <row r="345" spans="6:6" x14ac:dyDescent="0.25">
      <c r="F345" s="8"/>
    </row>
    <row r="346" spans="6:6" x14ac:dyDescent="0.25">
      <c r="F346" s="8"/>
    </row>
    <row r="347" spans="6:6" x14ac:dyDescent="0.25">
      <c r="F347" s="8"/>
    </row>
    <row r="348" spans="6:6" x14ac:dyDescent="0.25">
      <c r="F348" s="8"/>
    </row>
    <row r="349" spans="6:6" x14ac:dyDescent="0.25">
      <c r="F349" s="8"/>
    </row>
    <row r="350" spans="6:6" x14ac:dyDescent="0.25">
      <c r="F350" s="8"/>
    </row>
    <row r="351" spans="6:6" x14ac:dyDescent="0.25">
      <c r="F351" s="8"/>
    </row>
    <row r="352" spans="6:6" x14ac:dyDescent="0.25">
      <c r="F352" s="8"/>
    </row>
    <row r="353" spans="6:6" x14ac:dyDescent="0.25">
      <c r="F353" s="8"/>
    </row>
    <row r="354" spans="6:6" x14ac:dyDescent="0.25">
      <c r="F354" s="8"/>
    </row>
    <row r="355" spans="6:6" x14ac:dyDescent="0.25">
      <c r="F355" s="8"/>
    </row>
    <row r="356" spans="6:6" x14ac:dyDescent="0.25">
      <c r="F356" s="8"/>
    </row>
    <row r="357" spans="6:6" x14ac:dyDescent="0.25">
      <c r="F357" s="8"/>
    </row>
    <row r="358" spans="6:6" x14ac:dyDescent="0.25">
      <c r="F358" s="8"/>
    </row>
    <row r="359" spans="6:6" x14ac:dyDescent="0.25">
      <c r="F359" s="8"/>
    </row>
    <row r="360" spans="6:6" x14ac:dyDescent="0.25">
      <c r="F360" s="8"/>
    </row>
    <row r="361" spans="6:6" x14ac:dyDescent="0.25">
      <c r="F361" s="8"/>
    </row>
    <row r="362" spans="6:6" x14ac:dyDescent="0.25">
      <c r="F362" s="8"/>
    </row>
    <row r="363" spans="6:6" x14ac:dyDescent="0.25">
      <c r="F363" s="8"/>
    </row>
    <row r="364" spans="6:6" x14ac:dyDescent="0.25">
      <c r="F364" s="8"/>
    </row>
    <row r="365" spans="6:6" x14ac:dyDescent="0.25">
      <c r="F365" s="8"/>
    </row>
    <row r="366" spans="6:6" x14ac:dyDescent="0.25">
      <c r="F366" s="8"/>
    </row>
    <row r="367" spans="6:6" x14ac:dyDescent="0.25">
      <c r="F367" s="8"/>
    </row>
    <row r="368" spans="6:6" x14ac:dyDescent="0.25">
      <c r="F368" s="8"/>
    </row>
    <row r="369" spans="6:6" x14ac:dyDescent="0.25">
      <c r="F369" s="8"/>
    </row>
    <row r="370" spans="6:6" x14ac:dyDescent="0.25">
      <c r="F370" s="8"/>
    </row>
    <row r="371" spans="6:6" x14ac:dyDescent="0.25">
      <c r="F371" s="8"/>
    </row>
    <row r="372" spans="6:6" x14ac:dyDescent="0.25">
      <c r="F372" s="8"/>
    </row>
    <row r="373" spans="6:6" x14ac:dyDescent="0.25">
      <c r="F373" s="8"/>
    </row>
    <row r="374" spans="6:6" x14ac:dyDescent="0.25">
      <c r="F374" s="8"/>
    </row>
    <row r="375" spans="6:6" x14ac:dyDescent="0.25">
      <c r="F375" s="8"/>
    </row>
    <row r="376" spans="6:6" x14ac:dyDescent="0.25">
      <c r="F376" s="8"/>
    </row>
    <row r="377" spans="6:6" x14ac:dyDescent="0.25">
      <c r="F377" s="8"/>
    </row>
    <row r="378" spans="6:6" x14ac:dyDescent="0.25">
      <c r="F378" s="8"/>
    </row>
    <row r="379" spans="6:6" x14ac:dyDescent="0.25">
      <c r="F379" s="8"/>
    </row>
    <row r="380" spans="6:6" x14ac:dyDescent="0.25">
      <c r="F380" s="8"/>
    </row>
    <row r="381" spans="6:6" x14ac:dyDescent="0.25">
      <c r="F381" s="8"/>
    </row>
    <row r="382" spans="6:6" x14ac:dyDescent="0.25">
      <c r="F382" s="8"/>
    </row>
    <row r="383" spans="6:6" x14ac:dyDescent="0.25">
      <c r="F383" s="8"/>
    </row>
    <row r="384" spans="6:6" x14ac:dyDescent="0.25">
      <c r="F384" s="8"/>
    </row>
    <row r="385" spans="6:6" x14ac:dyDescent="0.25">
      <c r="F385" s="8"/>
    </row>
    <row r="386" spans="6:6" x14ac:dyDescent="0.25">
      <c r="F386" s="8"/>
    </row>
    <row r="387" spans="6:6" x14ac:dyDescent="0.25">
      <c r="F387" s="8"/>
    </row>
    <row r="388" spans="6:6" x14ac:dyDescent="0.25">
      <c r="F388" s="8"/>
    </row>
    <row r="389" spans="6:6" x14ac:dyDescent="0.25">
      <c r="F389" s="8"/>
    </row>
    <row r="390" spans="6:6" x14ac:dyDescent="0.25">
      <c r="F390" s="8"/>
    </row>
    <row r="391" spans="6:6" x14ac:dyDescent="0.25">
      <c r="F391" s="8"/>
    </row>
    <row r="392" spans="6:6" x14ac:dyDescent="0.25">
      <c r="F392" s="8"/>
    </row>
    <row r="393" spans="6:6" x14ac:dyDescent="0.25">
      <c r="F393" s="8"/>
    </row>
    <row r="394" spans="6:6" x14ac:dyDescent="0.25">
      <c r="F394" s="8"/>
    </row>
    <row r="395" spans="6:6" x14ac:dyDescent="0.25">
      <c r="F395" s="8"/>
    </row>
    <row r="396" spans="6:6" x14ac:dyDescent="0.25">
      <c r="F396" s="8"/>
    </row>
    <row r="397" spans="6:6" x14ac:dyDescent="0.25">
      <c r="F397" s="8"/>
    </row>
    <row r="398" spans="6:6" x14ac:dyDescent="0.25">
      <c r="F398" s="8"/>
    </row>
    <row r="399" spans="6:6" x14ac:dyDescent="0.25">
      <c r="F399" s="8"/>
    </row>
    <row r="400" spans="6:6" x14ac:dyDescent="0.25">
      <c r="F400" s="8"/>
    </row>
    <row r="401" spans="6:6" x14ac:dyDescent="0.25">
      <c r="F401" s="8"/>
    </row>
    <row r="402" spans="6:6" x14ac:dyDescent="0.25">
      <c r="F402" s="8"/>
    </row>
    <row r="403" spans="6:6" x14ac:dyDescent="0.25">
      <c r="F403" s="8"/>
    </row>
    <row r="404" spans="6:6" x14ac:dyDescent="0.25">
      <c r="F404" s="8"/>
    </row>
    <row r="405" spans="6:6" x14ac:dyDescent="0.25">
      <c r="F405" s="8"/>
    </row>
    <row r="406" spans="6:6" x14ac:dyDescent="0.25">
      <c r="F406" s="8"/>
    </row>
    <row r="407" spans="6:6" x14ac:dyDescent="0.25">
      <c r="F407" s="8"/>
    </row>
    <row r="408" spans="6:6" x14ac:dyDescent="0.25">
      <c r="F408" s="8"/>
    </row>
    <row r="409" spans="6:6" x14ac:dyDescent="0.25">
      <c r="F409" s="8"/>
    </row>
    <row r="410" spans="6:6" x14ac:dyDescent="0.25">
      <c r="F410" s="8"/>
    </row>
    <row r="411" spans="6:6" x14ac:dyDescent="0.25">
      <c r="F411" s="8"/>
    </row>
    <row r="412" spans="6:6" x14ac:dyDescent="0.25">
      <c r="F412" s="8"/>
    </row>
    <row r="413" spans="6:6" x14ac:dyDescent="0.25">
      <c r="F413" s="8"/>
    </row>
    <row r="414" spans="6:6" x14ac:dyDescent="0.25">
      <c r="F414" s="8"/>
    </row>
    <row r="415" spans="6:6" x14ac:dyDescent="0.25">
      <c r="F415" s="8"/>
    </row>
    <row r="416" spans="6:6" x14ac:dyDescent="0.25">
      <c r="F416" s="8"/>
    </row>
    <row r="417" spans="6:6" x14ac:dyDescent="0.25">
      <c r="F417" s="8"/>
    </row>
    <row r="418" spans="6:6" x14ac:dyDescent="0.25">
      <c r="F418" s="8"/>
    </row>
    <row r="419" spans="6:6" x14ac:dyDescent="0.25">
      <c r="F419" s="8"/>
    </row>
    <row r="420" spans="6:6" x14ac:dyDescent="0.25">
      <c r="F420" s="8"/>
    </row>
    <row r="421" spans="6:6" x14ac:dyDescent="0.25">
      <c r="F421" s="8"/>
    </row>
    <row r="422" spans="6:6" x14ac:dyDescent="0.25">
      <c r="F422" s="8"/>
    </row>
    <row r="423" spans="6:6" x14ac:dyDescent="0.25">
      <c r="F423" s="8"/>
    </row>
    <row r="424" spans="6:6" x14ac:dyDescent="0.25">
      <c r="F424" s="8"/>
    </row>
    <row r="425" spans="6:6" x14ac:dyDescent="0.25">
      <c r="F425" s="8"/>
    </row>
    <row r="426" spans="6:6" x14ac:dyDescent="0.25">
      <c r="F426" s="8"/>
    </row>
    <row r="427" spans="6:6" x14ac:dyDescent="0.25">
      <c r="F427" s="8"/>
    </row>
    <row r="428" spans="6:6" x14ac:dyDescent="0.25">
      <c r="F428" s="8"/>
    </row>
    <row r="429" spans="6:6" x14ac:dyDescent="0.25">
      <c r="F429" s="8"/>
    </row>
    <row r="430" spans="6:6" x14ac:dyDescent="0.25">
      <c r="F430" s="8"/>
    </row>
    <row r="431" spans="6:6" x14ac:dyDescent="0.25">
      <c r="F431" s="8"/>
    </row>
    <row r="432" spans="6:6" x14ac:dyDescent="0.25">
      <c r="F432" s="8"/>
    </row>
    <row r="433" spans="6:6" x14ac:dyDescent="0.25">
      <c r="F433" s="8"/>
    </row>
    <row r="434" spans="6:6" x14ac:dyDescent="0.25">
      <c r="F434" s="8"/>
    </row>
    <row r="435" spans="6:6" x14ac:dyDescent="0.25">
      <c r="F435" s="8"/>
    </row>
    <row r="436" spans="6:6" x14ac:dyDescent="0.25">
      <c r="F436" s="8"/>
    </row>
    <row r="437" spans="6:6" x14ac:dyDescent="0.25">
      <c r="F437" s="8"/>
    </row>
    <row r="438" spans="6:6" x14ac:dyDescent="0.25">
      <c r="F438" s="8"/>
    </row>
    <row r="439" spans="6:6" x14ac:dyDescent="0.25">
      <c r="F439" s="8"/>
    </row>
    <row r="440" spans="6:6" x14ac:dyDescent="0.25">
      <c r="F440" s="8"/>
    </row>
    <row r="441" spans="6:6" x14ac:dyDescent="0.25">
      <c r="F441" s="8"/>
    </row>
    <row r="442" spans="6:6" x14ac:dyDescent="0.25">
      <c r="F442" s="8"/>
    </row>
    <row r="443" spans="6:6" x14ac:dyDescent="0.25">
      <c r="F443" s="8"/>
    </row>
    <row r="444" spans="6:6" x14ac:dyDescent="0.25">
      <c r="F444" s="8"/>
    </row>
    <row r="445" spans="6:6" x14ac:dyDescent="0.25">
      <c r="F445" s="8"/>
    </row>
    <row r="446" spans="6:6" x14ac:dyDescent="0.25">
      <c r="F446" s="8"/>
    </row>
    <row r="447" spans="6:6" x14ac:dyDescent="0.25">
      <c r="F447" s="8"/>
    </row>
    <row r="448" spans="6:6" x14ac:dyDescent="0.25">
      <c r="F448" s="8"/>
    </row>
    <row r="449" spans="6:6" x14ac:dyDescent="0.25">
      <c r="F449" s="8"/>
    </row>
    <row r="450" spans="6:6" x14ac:dyDescent="0.25">
      <c r="F450" s="8"/>
    </row>
    <row r="451" spans="6:6" x14ac:dyDescent="0.25">
      <c r="F451" s="8"/>
    </row>
    <row r="452" spans="6:6" x14ac:dyDescent="0.25">
      <c r="F452" s="8"/>
    </row>
    <row r="453" spans="6:6" x14ac:dyDescent="0.25">
      <c r="F453" s="8"/>
    </row>
    <row r="454" spans="6:6" x14ac:dyDescent="0.25">
      <c r="F454" s="8"/>
    </row>
    <row r="455" spans="6:6" x14ac:dyDescent="0.25">
      <c r="F455" s="8"/>
    </row>
    <row r="456" spans="6:6" x14ac:dyDescent="0.25">
      <c r="F456" s="8"/>
    </row>
    <row r="457" spans="6:6" x14ac:dyDescent="0.25">
      <c r="F457" s="8"/>
    </row>
    <row r="458" spans="6:6" x14ac:dyDescent="0.25">
      <c r="F458" s="8"/>
    </row>
    <row r="459" spans="6:6" x14ac:dyDescent="0.25">
      <c r="F459" s="8"/>
    </row>
    <row r="460" spans="6:6" x14ac:dyDescent="0.25">
      <c r="F460" s="8"/>
    </row>
    <row r="461" spans="6:6" x14ac:dyDescent="0.25">
      <c r="F461" s="8"/>
    </row>
    <row r="462" spans="6:6" x14ac:dyDescent="0.25">
      <c r="F462" s="8"/>
    </row>
    <row r="463" spans="6:6" x14ac:dyDescent="0.25">
      <c r="F463" s="8"/>
    </row>
    <row r="464" spans="6:6" x14ac:dyDescent="0.25">
      <c r="F464" s="8"/>
    </row>
    <row r="465" spans="6:6" x14ac:dyDescent="0.25">
      <c r="F465" s="8"/>
    </row>
    <row r="466" spans="6:6" x14ac:dyDescent="0.25">
      <c r="F466" s="8"/>
    </row>
    <row r="467" spans="6:6" x14ac:dyDescent="0.25">
      <c r="F467" s="8"/>
    </row>
    <row r="468" spans="6:6" x14ac:dyDescent="0.25">
      <c r="F468" s="8"/>
    </row>
    <row r="469" spans="6:6" x14ac:dyDescent="0.25">
      <c r="F469" s="8"/>
    </row>
    <row r="470" spans="6:6" x14ac:dyDescent="0.25">
      <c r="F470" s="8"/>
    </row>
    <row r="471" spans="6:6" x14ac:dyDescent="0.25">
      <c r="F471" s="8"/>
    </row>
    <row r="472" spans="6:6" x14ac:dyDescent="0.25">
      <c r="F472" s="8"/>
    </row>
    <row r="473" spans="6:6" x14ac:dyDescent="0.25">
      <c r="F473" s="8"/>
    </row>
    <row r="474" spans="6:6" x14ac:dyDescent="0.25">
      <c r="F474" s="8"/>
    </row>
    <row r="475" spans="6:6" x14ac:dyDescent="0.25">
      <c r="F475" s="8"/>
    </row>
    <row r="476" spans="6:6" x14ac:dyDescent="0.25">
      <c r="F476" s="8"/>
    </row>
    <row r="477" spans="6:6" x14ac:dyDescent="0.25">
      <c r="F477" s="8"/>
    </row>
    <row r="478" spans="6:6" x14ac:dyDescent="0.25">
      <c r="F478" s="8"/>
    </row>
    <row r="479" spans="6:6" x14ac:dyDescent="0.25">
      <c r="F479" s="8"/>
    </row>
    <row r="480" spans="6:6" x14ac:dyDescent="0.25">
      <c r="F480" s="8"/>
    </row>
    <row r="481" spans="6:6" x14ac:dyDescent="0.25">
      <c r="F481" s="8"/>
    </row>
    <row r="482" spans="6:6" x14ac:dyDescent="0.25">
      <c r="F482" s="8"/>
    </row>
    <row r="483" spans="6:6" x14ac:dyDescent="0.25">
      <c r="F483" s="8"/>
    </row>
    <row r="484" spans="6:6" x14ac:dyDescent="0.25">
      <c r="F484" s="8"/>
    </row>
    <row r="485" spans="6:6" x14ac:dyDescent="0.25">
      <c r="F485" s="8"/>
    </row>
    <row r="486" spans="6:6" x14ac:dyDescent="0.25">
      <c r="F486" s="8"/>
    </row>
    <row r="487" spans="6:6" x14ac:dyDescent="0.25">
      <c r="F487" s="8"/>
    </row>
    <row r="488" spans="6:6" x14ac:dyDescent="0.25">
      <c r="F488" s="8"/>
    </row>
    <row r="489" spans="6:6" x14ac:dyDescent="0.25">
      <c r="F489" s="8"/>
    </row>
    <row r="490" spans="6:6" x14ac:dyDescent="0.25">
      <c r="F490" s="8"/>
    </row>
    <row r="491" spans="6:6" x14ac:dyDescent="0.25">
      <c r="F491" s="8"/>
    </row>
    <row r="492" spans="6:6" x14ac:dyDescent="0.25">
      <c r="F492" s="8"/>
    </row>
    <row r="493" spans="6:6" x14ac:dyDescent="0.25">
      <c r="F493" s="8"/>
    </row>
    <row r="494" spans="6:6" x14ac:dyDescent="0.25">
      <c r="F494" s="8"/>
    </row>
    <row r="495" spans="6:6" x14ac:dyDescent="0.25">
      <c r="F495" s="8"/>
    </row>
    <row r="496" spans="6:6" x14ac:dyDescent="0.25">
      <c r="F496" s="8"/>
    </row>
    <row r="497" spans="6:6" x14ac:dyDescent="0.25">
      <c r="F497" s="8"/>
    </row>
    <row r="498" spans="6:6" x14ac:dyDescent="0.25">
      <c r="F498" s="8"/>
    </row>
    <row r="499" spans="6:6" x14ac:dyDescent="0.25">
      <c r="F499" s="8"/>
    </row>
    <row r="500" spans="6:6" x14ac:dyDescent="0.25">
      <c r="F500" s="8"/>
    </row>
    <row r="501" spans="6:6" x14ac:dyDescent="0.25">
      <c r="F501" s="8"/>
    </row>
    <row r="502" spans="6:6" x14ac:dyDescent="0.25">
      <c r="F502" s="8"/>
    </row>
    <row r="503" spans="6:6" x14ac:dyDescent="0.25">
      <c r="F503" s="8"/>
    </row>
    <row r="504" spans="6:6" x14ac:dyDescent="0.25">
      <c r="F504" s="8"/>
    </row>
    <row r="505" spans="6:6" x14ac:dyDescent="0.25">
      <c r="F505" s="8"/>
    </row>
    <row r="506" spans="6:6" x14ac:dyDescent="0.25">
      <c r="F506" s="8"/>
    </row>
    <row r="507" spans="6:6" x14ac:dyDescent="0.25">
      <c r="F507" s="8"/>
    </row>
    <row r="508" spans="6:6" x14ac:dyDescent="0.25">
      <c r="F508" s="8"/>
    </row>
    <row r="509" spans="6:6" x14ac:dyDescent="0.25">
      <c r="F509" s="8"/>
    </row>
    <row r="510" spans="6:6" x14ac:dyDescent="0.25">
      <c r="F510" s="8"/>
    </row>
    <row r="511" spans="6:6" x14ac:dyDescent="0.25">
      <c r="F511" s="8"/>
    </row>
    <row r="512" spans="6:6" x14ac:dyDescent="0.25">
      <c r="F512" s="8"/>
    </row>
    <row r="513" spans="6:6" x14ac:dyDescent="0.25">
      <c r="F513" s="8"/>
    </row>
    <row r="514" spans="6:6" x14ac:dyDescent="0.25">
      <c r="F514" s="8"/>
    </row>
    <row r="515" spans="6:6" x14ac:dyDescent="0.25">
      <c r="F515" s="8"/>
    </row>
    <row r="516" spans="6:6" x14ac:dyDescent="0.25">
      <c r="F516" s="8"/>
    </row>
    <row r="517" spans="6:6" x14ac:dyDescent="0.25">
      <c r="F517" s="8"/>
    </row>
    <row r="518" spans="6:6" x14ac:dyDescent="0.25">
      <c r="F518" s="8"/>
    </row>
    <row r="519" spans="6:6" x14ac:dyDescent="0.25">
      <c r="F519" s="8"/>
    </row>
    <row r="520" spans="6:6" x14ac:dyDescent="0.25">
      <c r="F520" s="8"/>
    </row>
    <row r="521" spans="6:6" x14ac:dyDescent="0.25">
      <c r="F521" s="8"/>
    </row>
    <row r="522" spans="6:6" x14ac:dyDescent="0.25">
      <c r="F522" s="8"/>
    </row>
    <row r="523" spans="6:6" x14ac:dyDescent="0.25">
      <c r="F523" s="8"/>
    </row>
    <row r="524" spans="6:6" x14ac:dyDescent="0.25">
      <c r="F524" s="8"/>
    </row>
    <row r="525" spans="6:6" x14ac:dyDescent="0.25">
      <c r="F525" s="8"/>
    </row>
    <row r="526" spans="6:6" x14ac:dyDescent="0.25">
      <c r="F526" s="8"/>
    </row>
    <row r="527" spans="6:6" x14ac:dyDescent="0.25">
      <c r="F527" s="8"/>
    </row>
    <row r="528" spans="6:6" x14ac:dyDescent="0.25">
      <c r="F528" s="8"/>
    </row>
    <row r="529" spans="6:6" x14ac:dyDescent="0.25">
      <c r="F529" s="8"/>
    </row>
    <row r="530" spans="6:6" x14ac:dyDescent="0.25">
      <c r="F530" s="8"/>
    </row>
    <row r="531" spans="6:6" x14ac:dyDescent="0.25">
      <c r="F531" s="8"/>
    </row>
    <row r="532" spans="6:6" x14ac:dyDescent="0.25">
      <c r="F532" s="8"/>
    </row>
    <row r="533" spans="6:6" x14ac:dyDescent="0.25">
      <c r="F533" s="8"/>
    </row>
    <row r="534" spans="6:6" x14ac:dyDescent="0.25">
      <c r="F534" s="8"/>
    </row>
    <row r="535" spans="6:6" x14ac:dyDescent="0.25">
      <c r="F535" s="8"/>
    </row>
    <row r="536" spans="6:6" x14ac:dyDescent="0.25">
      <c r="F536" s="8"/>
    </row>
    <row r="537" spans="6:6" x14ac:dyDescent="0.25">
      <c r="F537" s="8"/>
    </row>
    <row r="538" spans="6:6" x14ac:dyDescent="0.25">
      <c r="F538" s="8"/>
    </row>
    <row r="539" spans="6:6" x14ac:dyDescent="0.25">
      <c r="F539" s="8"/>
    </row>
    <row r="540" spans="6:6" x14ac:dyDescent="0.25">
      <c r="F540" s="8"/>
    </row>
    <row r="541" spans="6:6" x14ac:dyDescent="0.25">
      <c r="F541" s="8"/>
    </row>
    <row r="542" spans="6:6" x14ac:dyDescent="0.25">
      <c r="F542" s="8"/>
    </row>
    <row r="543" spans="6:6" x14ac:dyDescent="0.25">
      <c r="F543" s="8"/>
    </row>
    <row r="544" spans="6:6" x14ac:dyDescent="0.25">
      <c r="F544" s="8"/>
    </row>
    <row r="545" spans="6:6" x14ac:dyDescent="0.25">
      <c r="F545" s="8"/>
    </row>
    <row r="546" spans="6:6" x14ac:dyDescent="0.25">
      <c r="F546" s="8"/>
    </row>
    <row r="547" spans="6:6" x14ac:dyDescent="0.25">
      <c r="F547" s="8"/>
    </row>
    <row r="548" spans="6:6" x14ac:dyDescent="0.25">
      <c r="F548" s="8"/>
    </row>
    <row r="549" spans="6:6" x14ac:dyDescent="0.25">
      <c r="F549" s="8"/>
    </row>
    <row r="550" spans="6:6" x14ac:dyDescent="0.25">
      <c r="F550" s="8"/>
    </row>
    <row r="551" spans="6:6" x14ac:dyDescent="0.25">
      <c r="F551" s="8"/>
    </row>
    <row r="552" spans="6:6" x14ac:dyDescent="0.25">
      <c r="F552" s="8"/>
    </row>
    <row r="553" spans="6:6" x14ac:dyDescent="0.25">
      <c r="F553" s="8"/>
    </row>
    <row r="554" spans="6:6" x14ac:dyDescent="0.25">
      <c r="F554" s="8"/>
    </row>
    <row r="555" spans="6:6" x14ac:dyDescent="0.25">
      <c r="F555" s="8"/>
    </row>
    <row r="556" spans="6:6" x14ac:dyDescent="0.25">
      <c r="F556" s="8"/>
    </row>
    <row r="557" spans="6:6" x14ac:dyDescent="0.25">
      <c r="F557" s="8"/>
    </row>
    <row r="558" spans="6:6" x14ac:dyDescent="0.25">
      <c r="F558" s="8"/>
    </row>
    <row r="559" spans="6:6" x14ac:dyDescent="0.25">
      <c r="F559" s="8"/>
    </row>
    <row r="560" spans="6:6" x14ac:dyDescent="0.25">
      <c r="F560" s="8"/>
    </row>
    <row r="561" spans="6:6" x14ac:dyDescent="0.25">
      <c r="F561" s="8"/>
    </row>
    <row r="562" spans="6:6" x14ac:dyDescent="0.25">
      <c r="F562" s="8"/>
    </row>
    <row r="563" spans="6:6" x14ac:dyDescent="0.25">
      <c r="F563" s="8"/>
    </row>
    <row r="564" spans="6:6" x14ac:dyDescent="0.25">
      <c r="F564" s="8"/>
    </row>
    <row r="565" spans="6:6" x14ac:dyDescent="0.25">
      <c r="F565" s="8"/>
    </row>
    <row r="566" spans="6:6" x14ac:dyDescent="0.25">
      <c r="F566" s="8"/>
    </row>
    <row r="567" spans="6:6" x14ac:dyDescent="0.25">
      <c r="F567" s="8"/>
    </row>
    <row r="568" spans="6:6" x14ac:dyDescent="0.25">
      <c r="F568" s="8"/>
    </row>
    <row r="569" spans="6:6" x14ac:dyDescent="0.25">
      <c r="F569" s="8"/>
    </row>
    <row r="570" spans="6:6" x14ac:dyDescent="0.25">
      <c r="F570" s="8"/>
    </row>
    <row r="571" spans="6:6" x14ac:dyDescent="0.25">
      <c r="F571" s="8"/>
    </row>
    <row r="572" spans="6:6" x14ac:dyDescent="0.25">
      <c r="F572" s="8"/>
    </row>
    <row r="573" spans="6:6" x14ac:dyDescent="0.25">
      <c r="F573" s="8"/>
    </row>
    <row r="574" spans="6:6" x14ac:dyDescent="0.25">
      <c r="F574" s="8"/>
    </row>
    <row r="575" spans="6:6" x14ac:dyDescent="0.25">
      <c r="F575" s="8"/>
    </row>
    <row r="576" spans="6:6" x14ac:dyDescent="0.25">
      <c r="F576" s="8"/>
    </row>
    <row r="577" spans="6:6" x14ac:dyDescent="0.25">
      <c r="F577" s="8"/>
    </row>
    <row r="578" spans="6:6" x14ac:dyDescent="0.25">
      <c r="F578" s="8"/>
    </row>
    <row r="579" spans="6:6" x14ac:dyDescent="0.25">
      <c r="F579" s="8"/>
    </row>
    <row r="580" spans="6:6" x14ac:dyDescent="0.25">
      <c r="F580" s="8"/>
    </row>
    <row r="581" spans="6:6" x14ac:dyDescent="0.25">
      <c r="F581" s="8"/>
    </row>
    <row r="582" spans="6:6" x14ac:dyDescent="0.25">
      <c r="F582" s="8"/>
    </row>
    <row r="583" spans="6:6" x14ac:dyDescent="0.25">
      <c r="F583" s="8"/>
    </row>
    <row r="584" spans="6:6" x14ac:dyDescent="0.25">
      <c r="F584" s="8"/>
    </row>
    <row r="585" spans="6:6" x14ac:dyDescent="0.25">
      <c r="F585" s="8"/>
    </row>
    <row r="586" spans="6:6" x14ac:dyDescent="0.25">
      <c r="F586" s="8"/>
    </row>
    <row r="587" spans="6:6" x14ac:dyDescent="0.25">
      <c r="F587" s="8"/>
    </row>
    <row r="588" spans="6:6" x14ac:dyDescent="0.25">
      <c r="F588" s="8"/>
    </row>
    <row r="589" spans="6:6" x14ac:dyDescent="0.25">
      <c r="F589" s="8"/>
    </row>
    <row r="590" spans="6:6" x14ac:dyDescent="0.25">
      <c r="F590" s="8"/>
    </row>
    <row r="591" spans="6:6" x14ac:dyDescent="0.25">
      <c r="F591" s="8"/>
    </row>
    <row r="592" spans="6:6" x14ac:dyDescent="0.25">
      <c r="F592" s="8"/>
    </row>
    <row r="593" spans="6:6" x14ac:dyDescent="0.25">
      <c r="F593" s="8"/>
    </row>
    <row r="594" spans="6:6" x14ac:dyDescent="0.25">
      <c r="F594" s="8"/>
    </row>
    <row r="595" spans="6:6" x14ac:dyDescent="0.25">
      <c r="F595" s="8"/>
    </row>
    <row r="596" spans="6:6" x14ac:dyDescent="0.25">
      <c r="F596" s="8"/>
    </row>
    <row r="597" spans="6:6" x14ac:dyDescent="0.25">
      <c r="F597" s="8"/>
    </row>
    <row r="598" spans="6:6" x14ac:dyDescent="0.25">
      <c r="F598" s="8"/>
    </row>
    <row r="599" spans="6:6" x14ac:dyDescent="0.25">
      <c r="F599" s="8"/>
    </row>
    <row r="600" spans="6:6" x14ac:dyDescent="0.25">
      <c r="F600" s="8"/>
    </row>
    <row r="601" spans="6:6" x14ac:dyDescent="0.25">
      <c r="F601" s="8"/>
    </row>
    <row r="602" spans="6:6" x14ac:dyDescent="0.25">
      <c r="F602" s="8"/>
    </row>
    <row r="603" spans="6:6" x14ac:dyDescent="0.25">
      <c r="F603" s="8"/>
    </row>
    <row r="604" spans="6:6" x14ac:dyDescent="0.25">
      <c r="F604" s="8"/>
    </row>
    <row r="605" spans="6:6" x14ac:dyDescent="0.25">
      <c r="F605" s="8"/>
    </row>
    <row r="606" spans="6:6" x14ac:dyDescent="0.25">
      <c r="F606" s="8"/>
    </row>
    <row r="607" spans="6:6" x14ac:dyDescent="0.25">
      <c r="F607" s="8"/>
    </row>
    <row r="608" spans="6:6" x14ac:dyDescent="0.25">
      <c r="F608" s="8"/>
    </row>
    <row r="609" spans="6:6" x14ac:dyDescent="0.25">
      <c r="F609" s="8"/>
    </row>
    <row r="610" spans="6:6" x14ac:dyDescent="0.25">
      <c r="F610" s="8"/>
    </row>
    <row r="611" spans="6:6" x14ac:dyDescent="0.25">
      <c r="F611" s="8"/>
    </row>
    <row r="612" spans="6:6" x14ac:dyDescent="0.25">
      <c r="F612" s="8"/>
    </row>
    <row r="613" spans="6:6" x14ac:dyDescent="0.25">
      <c r="F613" s="8"/>
    </row>
    <row r="614" spans="6:6" x14ac:dyDescent="0.25">
      <c r="F614" s="8"/>
    </row>
    <row r="615" spans="6:6" x14ac:dyDescent="0.25">
      <c r="F615" s="8"/>
    </row>
    <row r="616" spans="6:6" x14ac:dyDescent="0.25">
      <c r="F616" s="8"/>
    </row>
    <row r="617" spans="6:6" x14ac:dyDescent="0.25">
      <c r="F617" s="8"/>
    </row>
    <row r="618" spans="6:6" x14ac:dyDescent="0.25">
      <c r="F618" s="8"/>
    </row>
    <row r="619" spans="6:6" x14ac:dyDescent="0.25">
      <c r="F619" s="8"/>
    </row>
    <row r="620" spans="6:6" x14ac:dyDescent="0.25">
      <c r="F620" s="8"/>
    </row>
    <row r="621" spans="6:6" x14ac:dyDescent="0.25">
      <c r="F621" s="8"/>
    </row>
    <row r="622" spans="6:6" x14ac:dyDescent="0.25">
      <c r="F622" s="8"/>
    </row>
    <row r="623" spans="6:6" x14ac:dyDescent="0.25">
      <c r="F623" s="8"/>
    </row>
    <row r="624" spans="6:6" x14ac:dyDescent="0.25">
      <c r="F624" s="8"/>
    </row>
    <row r="625" spans="6:6" x14ac:dyDescent="0.25">
      <c r="F625" s="8"/>
    </row>
    <row r="626" spans="6:6" x14ac:dyDescent="0.25">
      <c r="F626" s="8"/>
    </row>
    <row r="627" spans="6:6" x14ac:dyDescent="0.25">
      <c r="F627" s="8"/>
    </row>
    <row r="628" spans="6:6" x14ac:dyDescent="0.25">
      <c r="F628" s="8"/>
    </row>
    <row r="629" spans="6:6" x14ac:dyDescent="0.25">
      <c r="F629" s="8"/>
    </row>
    <row r="630" spans="6:6" x14ac:dyDescent="0.25">
      <c r="F630" s="8"/>
    </row>
    <row r="631" spans="6:6" x14ac:dyDescent="0.25">
      <c r="F631" s="8"/>
    </row>
    <row r="632" spans="6:6" x14ac:dyDescent="0.25">
      <c r="F632" s="8"/>
    </row>
    <row r="633" spans="6:6" x14ac:dyDescent="0.25">
      <c r="F633" s="8"/>
    </row>
    <row r="634" spans="6:6" x14ac:dyDescent="0.25">
      <c r="F634" s="8"/>
    </row>
    <row r="635" spans="6:6" x14ac:dyDescent="0.25">
      <c r="F635" s="8"/>
    </row>
    <row r="636" spans="6:6" x14ac:dyDescent="0.25">
      <c r="F636" s="8"/>
    </row>
    <row r="637" spans="6:6" x14ac:dyDescent="0.25">
      <c r="F637" s="8"/>
    </row>
    <row r="638" spans="6:6" x14ac:dyDescent="0.25">
      <c r="F638" s="8"/>
    </row>
    <row r="639" spans="6:6" x14ac:dyDescent="0.25">
      <c r="F639" s="8"/>
    </row>
    <row r="640" spans="6:6" x14ac:dyDescent="0.25">
      <c r="F640" s="8"/>
    </row>
    <row r="641" spans="6:6" x14ac:dyDescent="0.25">
      <c r="F641" s="8"/>
    </row>
    <row r="642" spans="6:6" x14ac:dyDescent="0.25">
      <c r="F642" s="8"/>
    </row>
    <row r="643" spans="6:6" x14ac:dyDescent="0.25">
      <c r="F643" s="8"/>
    </row>
    <row r="644" spans="6:6" x14ac:dyDescent="0.25">
      <c r="F644" s="8"/>
    </row>
    <row r="645" spans="6:6" x14ac:dyDescent="0.25">
      <c r="F645" s="8"/>
    </row>
    <row r="646" spans="6:6" x14ac:dyDescent="0.25">
      <c r="F646" s="8"/>
    </row>
    <row r="647" spans="6:6" x14ac:dyDescent="0.25">
      <c r="F647" s="8"/>
    </row>
    <row r="648" spans="6:6" x14ac:dyDescent="0.25">
      <c r="F648" s="8"/>
    </row>
    <row r="649" spans="6:6" x14ac:dyDescent="0.25">
      <c r="F649" s="8"/>
    </row>
    <row r="650" spans="6:6" x14ac:dyDescent="0.25">
      <c r="F650" s="8"/>
    </row>
    <row r="651" spans="6:6" x14ac:dyDescent="0.25">
      <c r="F651" s="8"/>
    </row>
    <row r="652" spans="6:6" x14ac:dyDescent="0.25">
      <c r="F652" s="8"/>
    </row>
    <row r="653" spans="6:6" x14ac:dyDescent="0.25">
      <c r="F653" s="8"/>
    </row>
    <row r="654" spans="6:6" x14ac:dyDescent="0.25">
      <c r="F654" s="8"/>
    </row>
    <row r="655" spans="6:6" x14ac:dyDescent="0.25">
      <c r="F655" s="8"/>
    </row>
    <row r="656" spans="6:6" x14ac:dyDescent="0.25">
      <c r="F656" s="8"/>
    </row>
    <row r="657" spans="6:6" x14ac:dyDescent="0.25">
      <c r="F657" s="8"/>
    </row>
    <row r="658" spans="6:6" x14ac:dyDescent="0.25">
      <c r="F658" s="8"/>
    </row>
    <row r="659" spans="6:6" x14ac:dyDescent="0.25">
      <c r="F659" s="8"/>
    </row>
    <row r="660" spans="6:6" x14ac:dyDescent="0.25">
      <c r="F660" s="8"/>
    </row>
    <row r="661" spans="6:6" x14ac:dyDescent="0.25">
      <c r="F661" s="8"/>
    </row>
    <row r="662" spans="6:6" x14ac:dyDescent="0.25">
      <c r="F662" s="8"/>
    </row>
    <row r="663" spans="6:6" x14ac:dyDescent="0.25">
      <c r="F663" s="8"/>
    </row>
    <row r="664" spans="6:6" x14ac:dyDescent="0.25">
      <c r="F664" s="8"/>
    </row>
    <row r="665" spans="6:6" x14ac:dyDescent="0.25">
      <c r="F665" s="8"/>
    </row>
    <row r="666" spans="6:6" x14ac:dyDescent="0.25">
      <c r="F666" s="8"/>
    </row>
    <row r="667" spans="6:6" x14ac:dyDescent="0.25">
      <c r="F667" s="8"/>
    </row>
    <row r="668" spans="6:6" x14ac:dyDescent="0.25">
      <c r="F668" s="8"/>
    </row>
    <row r="669" spans="6:6" x14ac:dyDescent="0.25">
      <c r="F669" s="8"/>
    </row>
    <row r="670" spans="6:6" x14ac:dyDescent="0.25">
      <c r="F670" s="8"/>
    </row>
    <row r="671" spans="6:6" x14ac:dyDescent="0.25">
      <c r="F671" s="8"/>
    </row>
    <row r="672" spans="6:6" x14ac:dyDescent="0.25">
      <c r="F672" s="8"/>
    </row>
    <row r="673" spans="6:6" x14ac:dyDescent="0.25">
      <c r="F673" s="8"/>
    </row>
    <row r="674" spans="6:6" x14ac:dyDescent="0.25">
      <c r="F674" s="8"/>
    </row>
    <row r="675" spans="6:6" x14ac:dyDescent="0.25">
      <c r="F675" s="8"/>
    </row>
    <row r="676" spans="6:6" x14ac:dyDescent="0.25">
      <c r="F676" s="8"/>
    </row>
    <row r="677" spans="6:6" x14ac:dyDescent="0.25">
      <c r="F677" s="8"/>
    </row>
    <row r="678" spans="6:6" x14ac:dyDescent="0.25">
      <c r="F678" s="8"/>
    </row>
    <row r="679" spans="6:6" x14ac:dyDescent="0.25">
      <c r="F679" s="8"/>
    </row>
    <row r="680" spans="6:6" x14ac:dyDescent="0.25">
      <c r="F680" s="8"/>
    </row>
    <row r="681" spans="6:6" x14ac:dyDescent="0.25">
      <c r="F681" s="8"/>
    </row>
    <row r="682" spans="6:6" x14ac:dyDescent="0.25">
      <c r="F682" s="8"/>
    </row>
    <row r="683" spans="6:6" x14ac:dyDescent="0.25">
      <c r="F683" s="8"/>
    </row>
    <row r="684" spans="6:6" x14ac:dyDescent="0.25">
      <c r="F684" s="8"/>
    </row>
    <row r="685" spans="6:6" x14ac:dyDescent="0.25">
      <c r="F685" s="8"/>
    </row>
    <row r="686" spans="6:6" x14ac:dyDescent="0.25">
      <c r="F686" s="8"/>
    </row>
    <row r="687" spans="6:6" x14ac:dyDescent="0.25">
      <c r="F687" s="8"/>
    </row>
    <row r="688" spans="6:6" x14ac:dyDescent="0.25">
      <c r="F688" s="8"/>
    </row>
    <row r="689" spans="6:6" x14ac:dyDescent="0.25">
      <c r="F689" s="8"/>
    </row>
    <row r="690" spans="6:6" x14ac:dyDescent="0.25">
      <c r="F690" s="8"/>
    </row>
    <row r="691" spans="6:6" x14ac:dyDescent="0.25">
      <c r="F691" s="8"/>
    </row>
    <row r="692" spans="6:6" x14ac:dyDescent="0.25">
      <c r="F692" s="8"/>
    </row>
    <row r="693" spans="6:6" x14ac:dyDescent="0.25">
      <c r="F693" s="8"/>
    </row>
    <row r="694" spans="6:6" x14ac:dyDescent="0.25">
      <c r="F694" s="8"/>
    </row>
    <row r="695" spans="6:6" x14ac:dyDescent="0.25">
      <c r="F695" s="8"/>
    </row>
    <row r="696" spans="6:6" x14ac:dyDescent="0.25">
      <c r="F696" s="8"/>
    </row>
    <row r="697" spans="6:6" x14ac:dyDescent="0.25">
      <c r="F697" s="8"/>
    </row>
    <row r="698" spans="6:6" x14ac:dyDescent="0.25">
      <c r="F698" s="8"/>
    </row>
    <row r="699" spans="6:6" x14ac:dyDescent="0.25">
      <c r="F699" s="8"/>
    </row>
    <row r="700" spans="6:6" x14ac:dyDescent="0.25">
      <c r="F700" s="8"/>
    </row>
    <row r="701" spans="6:6" x14ac:dyDescent="0.25">
      <c r="F701" s="8"/>
    </row>
    <row r="702" spans="6:6" x14ac:dyDescent="0.25">
      <c r="F702" s="8"/>
    </row>
    <row r="703" spans="6:6" x14ac:dyDescent="0.25">
      <c r="F703" s="8"/>
    </row>
    <row r="704" spans="6:6" x14ac:dyDescent="0.25">
      <c r="F704" s="8"/>
    </row>
    <row r="705" spans="6:6" x14ac:dyDescent="0.25">
      <c r="F705" s="8"/>
    </row>
    <row r="706" spans="6:6" x14ac:dyDescent="0.25">
      <c r="F706" s="8"/>
    </row>
    <row r="707" spans="6:6" x14ac:dyDescent="0.25">
      <c r="F707" s="8"/>
    </row>
    <row r="708" spans="6:6" x14ac:dyDescent="0.25">
      <c r="F708" s="8"/>
    </row>
    <row r="709" spans="6:6" x14ac:dyDescent="0.25">
      <c r="F709" s="8"/>
    </row>
    <row r="710" spans="6:6" x14ac:dyDescent="0.25">
      <c r="F710" s="8"/>
    </row>
    <row r="711" spans="6:6" x14ac:dyDescent="0.25">
      <c r="F711" s="8"/>
    </row>
    <row r="712" spans="6:6" x14ac:dyDescent="0.25">
      <c r="F712" s="8"/>
    </row>
    <row r="713" spans="6:6" x14ac:dyDescent="0.25">
      <c r="F713" s="8"/>
    </row>
    <row r="714" spans="6:6" x14ac:dyDescent="0.25">
      <c r="F714" s="8"/>
    </row>
    <row r="715" spans="6:6" x14ac:dyDescent="0.25">
      <c r="F715" s="8"/>
    </row>
    <row r="716" spans="6:6" x14ac:dyDescent="0.25">
      <c r="F716" s="8"/>
    </row>
    <row r="717" spans="6:6" x14ac:dyDescent="0.25">
      <c r="F717" s="8"/>
    </row>
    <row r="718" spans="6:6" x14ac:dyDescent="0.25">
      <c r="F718" s="8"/>
    </row>
    <row r="719" spans="6:6" x14ac:dyDescent="0.25">
      <c r="F719" s="8"/>
    </row>
    <row r="720" spans="6:6" x14ac:dyDescent="0.25">
      <c r="F720" s="8"/>
    </row>
    <row r="721" spans="6:6" x14ac:dyDescent="0.25">
      <c r="F721" s="8"/>
    </row>
    <row r="722" spans="6:6" x14ac:dyDescent="0.25">
      <c r="F722" s="8"/>
    </row>
    <row r="723" spans="6:6" x14ac:dyDescent="0.25">
      <c r="F723" s="8"/>
    </row>
    <row r="724" spans="6:6" x14ac:dyDescent="0.25">
      <c r="F724" s="8"/>
    </row>
    <row r="725" spans="6:6" x14ac:dyDescent="0.25">
      <c r="F725" s="8"/>
    </row>
    <row r="726" spans="6:6" x14ac:dyDescent="0.25">
      <c r="F726" s="8"/>
    </row>
    <row r="727" spans="6:6" x14ac:dyDescent="0.25">
      <c r="F727" s="8"/>
    </row>
    <row r="728" spans="6:6" x14ac:dyDescent="0.25">
      <c r="F728" s="8"/>
    </row>
    <row r="729" spans="6:6" x14ac:dyDescent="0.25">
      <c r="F729" s="8"/>
    </row>
    <row r="730" spans="6:6" x14ac:dyDescent="0.25">
      <c r="F730" s="8"/>
    </row>
    <row r="731" spans="6:6" x14ac:dyDescent="0.25">
      <c r="F731" s="8"/>
    </row>
    <row r="732" spans="6:6" x14ac:dyDescent="0.25">
      <c r="F732" s="8"/>
    </row>
    <row r="733" spans="6:6" x14ac:dyDescent="0.25">
      <c r="F733" s="8"/>
    </row>
    <row r="734" spans="6:6" x14ac:dyDescent="0.25">
      <c r="F734" s="8"/>
    </row>
    <row r="735" spans="6:6" x14ac:dyDescent="0.25">
      <c r="F735" s="8"/>
    </row>
    <row r="736" spans="6:6" x14ac:dyDescent="0.25">
      <c r="F736" s="8"/>
    </row>
    <row r="737" spans="6:6" x14ac:dyDescent="0.25">
      <c r="F737" s="8"/>
    </row>
    <row r="738" spans="6:6" x14ac:dyDescent="0.25">
      <c r="F738" s="8"/>
    </row>
    <row r="739" spans="6:6" x14ac:dyDescent="0.25">
      <c r="F739" s="8"/>
    </row>
    <row r="740" spans="6:6" x14ac:dyDescent="0.25">
      <c r="F740" s="8"/>
    </row>
    <row r="741" spans="6:6" x14ac:dyDescent="0.25">
      <c r="F741" s="8"/>
    </row>
    <row r="742" spans="6:6" x14ac:dyDescent="0.25">
      <c r="F742" s="8"/>
    </row>
    <row r="743" spans="6:6" x14ac:dyDescent="0.25">
      <c r="F743" s="8"/>
    </row>
    <row r="744" spans="6:6" x14ac:dyDescent="0.25">
      <c r="F744" s="8"/>
    </row>
    <row r="745" spans="6:6" x14ac:dyDescent="0.25">
      <c r="F745" s="8"/>
    </row>
    <row r="746" spans="6:6" x14ac:dyDescent="0.25">
      <c r="F746" s="8"/>
    </row>
    <row r="747" spans="6:6" x14ac:dyDescent="0.25">
      <c r="F747" s="8"/>
    </row>
    <row r="748" spans="6:6" x14ac:dyDescent="0.25">
      <c r="F748" s="8"/>
    </row>
    <row r="749" spans="6:6" x14ac:dyDescent="0.25">
      <c r="F749" s="8"/>
    </row>
    <row r="750" spans="6:6" x14ac:dyDescent="0.25">
      <c r="F750" s="8"/>
    </row>
    <row r="751" spans="6:6" x14ac:dyDescent="0.25">
      <c r="F751" s="8"/>
    </row>
    <row r="752" spans="6:6" x14ac:dyDescent="0.25">
      <c r="F752" s="8"/>
    </row>
    <row r="753" spans="6:6" x14ac:dyDescent="0.25">
      <c r="F753" s="8"/>
    </row>
    <row r="754" spans="6:6" x14ac:dyDescent="0.25">
      <c r="F754" s="8"/>
    </row>
    <row r="755" spans="6:6" x14ac:dyDescent="0.25">
      <c r="F755" s="8"/>
    </row>
    <row r="756" spans="6:6" x14ac:dyDescent="0.25">
      <c r="F756" s="8"/>
    </row>
    <row r="757" spans="6:6" x14ac:dyDescent="0.25">
      <c r="F757" s="8"/>
    </row>
    <row r="758" spans="6:6" x14ac:dyDescent="0.25">
      <c r="F758" s="8"/>
    </row>
    <row r="759" spans="6:6" x14ac:dyDescent="0.25">
      <c r="F759" s="8"/>
    </row>
    <row r="760" spans="6:6" x14ac:dyDescent="0.25">
      <c r="F760" s="8"/>
    </row>
    <row r="761" spans="6:6" x14ac:dyDescent="0.25">
      <c r="F761" s="8"/>
    </row>
    <row r="762" spans="6:6" x14ac:dyDescent="0.25">
      <c r="F762" s="8"/>
    </row>
    <row r="763" spans="6:6" x14ac:dyDescent="0.25">
      <c r="F763" s="8"/>
    </row>
    <row r="764" spans="6:6" x14ac:dyDescent="0.25">
      <c r="F764" s="8"/>
    </row>
    <row r="765" spans="6:6" x14ac:dyDescent="0.25">
      <c r="F765" s="8"/>
    </row>
    <row r="766" spans="6:6" x14ac:dyDescent="0.25">
      <c r="F766" s="8"/>
    </row>
    <row r="767" spans="6:6" x14ac:dyDescent="0.25">
      <c r="F767" s="8"/>
    </row>
    <row r="768" spans="6:6" x14ac:dyDescent="0.25">
      <c r="F768" s="8"/>
    </row>
    <row r="769" spans="6:6" x14ac:dyDescent="0.25">
      <c r="F769" s="8"/>
    </row>
    <row r="770" spans="6:6" x14ac:dyDescent="0.25">
      <c r="F770" s="8"/>
    </row>
    <row r="771" spans="6:6" x14ac:dyDescent="0.25">
      <c r="F771" s="8"/>
    </row>
    <row r="772" spans="6:6" x14ac:dyDescent="0.25">
      <c r="F772" s="8"/>
    </row>
    <row r="773" spans="6:6" x14ac:dyDescent="0.25">
      <c r="F773" s="8"/>
    </row>
    <row r="774" spans="6:6" x14ac:dyDescent="0.25">
      <c r="F774" s="8"/>
    </row>
    <row r="775" spans="6:6" x14ac:dyDescent="0.25">
      <c r="F775" s="8"/>
    </row>
    <row r="776" spans="6:6" x14ac:dyDescent="0.25">
      <c r="F776" s="8"/>
    </row>
    <row r="777" spans="6:6" x14ac:dyDescent="0.25">
      <c r="F777" s="8"/>
    </row>
    <row r="778" spans="6:6" x14ac:dyDescent="0.25">
      <c r="F778" s="8"/>
    </row>
    <row r="779" spans="6:6" x14ac:dyDescent="0.25">
      <c r="F779" s="8"/>
    </row>
    <row r="780" spans="6:6" x14ac:dyDescent="0.25">
      <c r="F780" s="8"/>
    </row>
    <row r="781" spans="6:6" x14ac:dyDescent="0.25">
      <c r="F781" s="8"/>
    </row>
    <row r="782" spans="6:6" x14ac:dyDescent="0.25">
      <c r="F782" s="8"/>
    </row>
    <row r="783" spans="6:6" x14ac:dyDescent="0.25">
      <c r="F783" s="8"/>
    </row>
    <row r="784" spans="6:6" x14ac:dyDescent="0.25">
      <c r="F784" s="8"/>
    </row>
    <row r="785" spans="6:6" x14ac:dyDescent="0.25">
      <c r="F785" s="8"/>
    </row>
    <row r="786" spans="6:6" x14ac:dyDescent="0.25">
      <c r="F786" s="8"/>
    </row>
    <row r="787" spans="6:6" x14ac:dyDescent="0.25">
      <c r="F787" s="8"/>
    </row>
    <row r="788" spans="6:6" x14ac:dyDescent="0.25">
      <c r="F788" s="8"/>
    </row>
    <row r="789" spans="6:6" x14ac:dyDescent="0.25">
      <c r="F789" s="8"/>
    </row>
    <row r="790" spans="6:6" x14ac:dyDescent="0.25">
      <c r="F790" s="8"/>
    </row>
    <row r="791" spans="6:6" x14ac:dyDescent="0.25">
      <c r="F791" s="8"/>
    </row>
    <row r="792" spans="6:6" x14ac:dyDescent="0.25">
      <c r="F792" s="8"/>
    </row>
    <row r="793" spans="6:6" x14ac:dyDescent="0.25">
      <c r="F793" s="8"/>
    </row>
    <row r="794" spans="6:6" x14ac:dyDescent="0.25">
      <c r="F794" s="8"/>
    </row>
    <row r="795" spans="6:6" x14ac:dyDescent="0.25">
      <c r="F795" s="8"/>
    </row>
    <row r="796" spans="6:6" x14ac:dyDescent="0.25">
      <c r="F796" s="8"/>
    </row>
    <row r="797" spans="6:6" x14ac:dyDescent="0.25">
      <c r="F797" s="8"/>
    </row>
    <row r="798" spans="6:6" x14ac:dyDescent="0.25">
      <c r="F798" s="8"/>
    </row>
    <row r="799" spans="6:6" x14ac:dyDescent="0.25">
      <c r="F799" s="8"/>
    </row>
    <row r="800" spans="6:6" x14ac:dyDescent="0.25">
      <c r="F800" s="8"/>
    </row>
    <row r="801" spans="6:6" x14ac:dyDescent="0.25">
      <c r="F801" s="8"/>
    </row>
    <row r="802" spans="6:6" x14ac:dyDescent="0.25">
      <c r="F802" s="8"/>
    </row>
    <row r="803" spans="6:6" x14ac:dyDescent="0.25">
      <c r="F803" s="8"/>
    </row>
    <row r="804" spans="6:6" x14ac:dyDescent="0.25">
      <c r="F804" s="8"/>
    </row>
    <row r="805" spans="6:6" x14ac:dyDescent="0.25">
      <c r="F805" s="8"/>
    </row>
    <row r="806" spans="6:6" x14ac:dyDescent="0.25">
      <c r="F806" s="8"/>
    </row>
    <row r="807" spans="6:6" x14ac:dyDescent="0.25">
      <c r="F807" s="8"/>
    </row>
    <row r="808" spans="6:6" x14ac:dyDescent="0.25">
      <c r="F808" s="8"/>
    </row>
    <row r="809" spans="6:6" x14ac:dyDescent="0.25">
      <c r="F809" s="8"/>
    </row>
    <row r="810" spans="6:6" x14ac:dyDescent="0.25">
      <c r="F810" s="8"/>
    </row>
    <row r="811" spans="6:6" x14ac:dyDescent="0.25">
      <c r="F811" s="8"/>
    </row>
    <row r="812" spans="6:6" x14ac:dyDescent="0.25">
      <c r="F812" s="8"/>
    </row>
    <row r="813" spans="6:6" x14ac:dyDescent="0.25">
      <c r="F813" s="8"/>
    </row>
    <row r="814" spans="6:6" x14ac:dyDescent="0.25">
      <c r="F814" s="8"/>
    </row>
    <row r="815" spans="6:6" x14ac:dyDescent="0.25">
      <c r="F815" s="8"/>
    </row>
    <row r="816" spans="6:6" x14ac:dyDescent="0.25">
      <c r="F816" s="8"/>
    </row>
    <row r="817" spans="6:6" x14ac:dyDescent="0.25">
      <c r="F817" s="8"/>
    </row>
    <row r="818" spans="6:6" x14ac:dyDescent="0.25">
      <c r="F818" s="8"/>
    </row>
    <row r="819" spans="6:6" x14ac:dyDescent="0.25">
      <c r="F819" s="8"/>
    </row>
    <row r="820" spans="6:6" x14ac:dyDescent="0.25">
      <c r="F820" s="8"/>
    </row>
    <row r="821" spans="6:6" x14ac:dyDescent="0.25">
      <c r="F821" s="8"/>
    </row>
    <row r="822" spans="6:6" x14ac:dyDescent="0.25">
      <c r="F822" s="8"/>
    </row>
    <row r="823" spans="6:6" x14ac:dyDescent="0.25">
      <c r="F823" s="8"/>
    </row>
    <row r="824" spans="6:6" x14ac:dyDescent="0.25">
      <c r="F824" s="8"/>
    </row>
    <row r="825" spans="6:6" x14ac:dyDescent="0.25">
      <c r="F825" s="8"/>
    </row>
    <row r="826" spans="6:6" x14ac:dyDescent="0.25">
      <c r="F826" s="8"/>
    </row>
    <row r="827" spans="6:6" x14ac:dyDescent="0.25">
      <c r="F827" s="8"/>
    </row>
    <row r="828" spans="6:6" x14ac:dyDescent="0.25">
      <c r="F828" s="8"/>
    </row>
    <row r="829" spans="6:6" x14ac:dyDescent="0.25">
      <c r="F829" s="8"/>
    </row>
    <row r="830" spans="6:6" x14ac:dyDescent="0.25">
      <c r="F830" s="8"/>
    </row>
    <row r="831" spans="6:6" x14ac:dyDescent="0.25">
      <c r="F831" s="8"/>
    </row>
    <row r="832" spans="6:6" x14ac:dyDescent="0.25">
      <c r="F832" s="8"/>
    </row>
    <row r="833" spans="6:6" x14ac:dyDescent="0.25">
      <c r="F833" s="8"/>
    </row>
    <row r="834" spans="6:6" x14ac:dyDescent="0.25">
      <c r="F834" s="8"/>
    </row>
    <row r="835" spans="6:6" x14ac:dyDescent="0.25">
      <c r="F835" s="8"/>
    </row>
    <row r="836" spans="6:6" x14ac:dyDescent="0.25">
      <c r="F836" s="8"/>
    </row>
    <row r="837" spans="6:6" x14ac:dyDescent="0.25">
      <c r="F837" s="8"/>
    </row>
    <row r="838" spans="6:6" x14ac:dyDescent="0.25">
      <c r="F838" s="8"/>
    </row>
    <row r="839" spans="6:6" x14ac:dyDescent="0.25">
      <c r="F839" s="8"/>
    </row>
    <row r="840" spans="6:6" x14ac:dyDescent="0.25">
      <c r="F840" s="8"/>
    </row>
    <row r="841" spans="6:6" x14ac:dyDescent="0.25">
      <c r="F841" s="8"/>
    </row>
    <row r="842" spans="6:6" x14ac:dyDescent="0.25">
      <c r="F842" s="8"/>
    </row>
    <row r="843" spans="6:6" x14ac:dyDescent="0.25">
      <c r="F843" s="8"/>
    </row>
    <row r="844" spans="6:6" x14ac:dyDescent="0.25">
      <c r="F844" s="8"/>
    </row>
    <row r="845" spans="6:6" x14ac:dyDescent="0.25">
      <c r="F845" s="8"/>
    </row>
    <row r="846" spans="6:6" x14ac:dyDescent="0.25">
      <c r="F846" s="8"/>
    </row>
    <row r="847" spans="6:6" x14ac:dyDescent="0.25">
      <c r="F847" s="8"/>
    </row>
    <row r="848" spans="6:6" x14ac:dyDescent="0.25">
      <c r="F848" s="8"/>
    </row>
    <row r="849" spans="6:6" x14ac:dyDescent="0.25">
      <c r="F849" s="8"/>
    </row>
    <row r="850" spans="6:6" x14ac:dyDescent="0.25">
      <c r="F850" s="8"/>
    </row>
    <row r="851" spans="6:6" x14ac:dyDescent="0.25">
      <c r="F851" s="8"/>
    </row>
    <row r="852" spans="6:6" x14ac:dyDescent="0.25">
      <c r="F852" s="8"/>
    </row>
    <row r="853" spans="6:6" x14ac:dyDescent="0.25">
      <c r="F853" s="8"/>
    </row>
    <row r="854" spans="6:6" x14ac:dyDescent="0.25">
      <c r="F854" s="8"/>
    </row>
    <row r="855" spans="6:6" x14ac:dyDescent="0.25">
      <c r="F855" s="8"/>
    </row>
    <row r="856" spans="6:6" x14ac:dyDescent="0.25">
      <c r="F856" s="8"/>
    </row>
    <row r="857" spans="6:6" x14ac:dyDescent="0.25">
      <c r="F857" s="8"/>
    </row>
    <row r="858" spans="6:6" x14ac:dyDescent="0.25">
      <c r="F858" s="8"/>
    </row>
    <row r="859" spans="6:6" x14ac:dyDescent="0.25">
      <c r="F859" s="8"/>
    </row>
    <row r="860" spans="6:6" x14ac:dyDescent="0.25">
      <c r="F860" s="8"/>
    </row>
    <row r="861" spans="6:6" x14ac:dyDescent="0.25">
      <c r="F861" s="8"/>
    </row>
    <row r="862" spans="6:6" x14ac:dyDescent="0.25">
      <c r="F862" s="8"/>
    </row>
    <row r="863" spans="6:6" x14ac:dyDescent="0.25">
      <c r="F863" s="8"/>
    </row>
    <row r="864" spans="6:6" x14ac:dyDescent="0.25">
      <c r="F864" s="8"/>
    </row>
    <row r="865" spans="6:6" x14ac:dyDescent="0.25">
      <c r="F865" s="8"/>
    </row>
    <row r="866" spans="6:6" x14ac:dyDescent="0.25">
      <c r="F866" s="8"/>
    </row>
    <row r="867" spans="6:6" x14ac:dyDescent="0.25">
      <c r="F867" s="8"/>
    </row>
    <row r="868" spans="6:6" x14ac:dyDescent="0.25">
      <c r="F868" s="8"/>
    </row>
    <row r="869" spans="6:6" x14ac:dyDescent="0.25">
      <c r="F869" s="8"/>
    </row>
    <row r="870" spans="6:6" x14ac:dyDescent="0.25">
      <c r="F870" s="8"/>
    </row>
    <row r="871" spans="6:6" x14ac:dyDescent="0.25">
      <c r="F871" s="8"/>
    </row>
    <row r="872" spans="6:6" x14ac:dyDescent="0.25">
      <c r="F872" s="8"/>
    </row>
    <row r="873" spans="6:6" x14ac:dyDescent="0.25">
      <c r="F873" s="8"/>
    </row>
    <row r="874" spans="6:6" x14ac:dyDescent="0.25">
      <c r="F874" s="8"/>
    </row>
    <row r="875" spans="6:6" x14ac:dyDescent="0.25">
      <c r="F875" s="8"/>
    </row>
    <row r="876" spans="6:6" x14ac:dyDescent="0.25">
      <c r="F876" s="8"/>
    </row>
    <row r="877" spans="6:6" x14ac:dyDescent="0.25">
      <c r="F877" s="8"/>
    </row>
    <row r="878" spans="6:6" x14ac:dyDescent="0.25">
      <c r="F878" s="8"/>
    </row>
    <row r="879" spans="6:6" x14ac:dyDescent="0.25">
      <c r="F879" s="8"/>
    </row>
    <row r="880" spans="6:6" x14ac:dyDescent="0.25">
      <c r="F880" s="8"/>
    </row>
    <row r="881" spans="6:6" x14ac:dyDescent="0.25">
      <c r="F881" s="8"/>
    </row>
    <row r="882" spans="6:6" x14ac:dyDescent="0.25">
      <c r="F882" s="8"/>
    </row>
    <row r="883" spans="6:6" x14ac:dyDescent="0.25">
      <c r="F883" s="8"/>
    </row>
    <row r="884" spans="6:6" x14ac:dyDescent="0.25">
      <c r="F884" s="8"/>
    </row>
    <row r="885" spans="6:6" x14ac:dyDescent="0.25">
      <c r="F885" s="8"/>
    </row>
    <row r="886" spans="6:6" x14ac:dyDescent="0.25">
      <c r="F886" s="8"/>
    </row>
    <row r="887" spans="6:6" x14ac:dyDescent="0.25">
      <c r="F887" s="8"/>
    </row>
    <row r="888" spans="6:6" x14ac:dyDescent="0.25">
      <c r="F888" s="8"/>
    </row>
    <row r="889" spans="6:6" x14ac:dyDescent="0.25">
      <c r="F889" s="8"/>
    </row>
    <row r="890" spans="6:6" x14ac:dyDescent="0.25">
      <c r="F890" s="8"/>
    </row>
    <row r="891" spans="6:6" x14ac:dyDescent="0.25">
      <c r="F891" s="8"/>
    </row>
    <row r="892" spans="6:6" x14ac:dyDescent="0.25">
      <c r="F892" s="8"/>
    </row>
    <row r="893" spans="6:6" x14ac:dyDescent="0.25">
      <c r="F893" s="8"/>
    </row>
    <row r="894" spans="6:6" x14ac:dyDescent="0.25">
      <c r="F894" s="8"/>
    </row>
    <row r="895" spans="6:6" x14ac:dyDescent="0.25">
      <c r="F895" s="8"/>
    </row>
    <row r="896" spans="6:6" x14ac:dyDescent="0.25">
      <c r="F896" s="8"/>
    </row>
    <row r="897" spans="6:6" x14ac:dyDescent="0.25">
      <c r="F897" s="8"/>
    </row>
    <row r="898" spans="6:6" x14ac:dyDescent="0.25">
      <c r="F898" s="8"/>
    </row>
    <row r="899" spans="6:6" x14ac:dyDescent="0.25">
      <c r="F899" s="8"/>
    </row>
    <row r="900" spans="6:6" x14ac:dyDescent="0.25">
      <c r="F900" s="8"/>
    </row>
    <row r="901" spans="6:6" x14ac:dyDescent="0.25">
      <c r="F901" s="8"/>
    </row>
    <row r="902" spans="6:6" x14ac:dyDescent="0.25">
      <c r="F902" s="8"/>
    </row>
    <row r="903" spans="6:6" x14ac:dyDescent="0.25">
      <c r="F903" s="8"/>
    </row>
    <row r="904" spans="6:6" x14ac:dyDescent="0.25">
      <c r="F904" s="8"/>
    </row>
    <row r="905" spans="6:6" x14ac:dyDescent="0.25">
      <c r="F905" s="8"/>
    </row>
    <row r="906" spans="6:6" x14ac:dyDescent="0.25">
      <c r="F906" s="8"/>
    </row>
    <row r="907" spans="6:6" x14ac:dyDescent="0.25">
      <c r="F907" s="8"/>
    </row>
    <row r="908" spans="6:6" x14ac:dyDescent="0.25">
      <c r="F908" s="8"/>
    </row>
    <row r="909" spans="6:6" x14ac:dyDescent="0.25">
      <c r="F909" s="8"/>
    </row>
    <row r="910" spans="6:6" x14ac:dyDescent="0.25">
      <c r="F910" s="8"/>
    </row>
    <row r="911" spans="6:6" x14ac:dyDescent="0.25">
      <c r="F911" s="8"/>
    </row>
    <row r="912" spans="6:6" x14ac:dyDescent="0.25">
      <c r="F912" s="8"/>
    </row>
    <row r="913" spans="6:6" x14ac:dyDescent="0.25">
      <c r="F913" s="8"/>
    </row>
    <row r="914" spans="6:6" x14ac:dyDescent="0.25">
      <c r="F914" s="8"/>
    </row>
    <row r="915" spans="6:6" x14ac:dyDescent="0.25">
      <c r="F915" s="8"/>
    </row>
    <row r="916" spans="6:6" x14ac:dyDescent="0.25">
      <c r="F916" s="8"/>
    </row>
    <row r="917" spans="6:6" x14ac:dyDescent="0.25">
      <c r="F917" s="8"/>
    </row>
    <row r="918" spans="6:6" x14ac:dyDescent="0.25">
      <c r="F918" s="8"/>
    </row>
    <row r="919" spans="6:6" x14ac:dyDescent="0.25">
      <c r="F919" s="8"/>
    </row>
    <row r="920" spans="6:6" x14ac:dyDescent="0.25">
      <c r="F920" s="8"/>
    </row>
    <row r="921" spans="6:6" x14ac:dyDescent="0.25">
      <c r="F921" s="8"/>
    </row>
    <row r="922" spans="6:6" x14ac:dyDescent="0.25">
      <c r="F922" s="8"/>
    </row>
    <row r="923" spans="6:6" x14ac:dyDescent="0.25">
      <c r="F923" s="8"/>
    </row>
    <row r="924" spans="6:6" x14ac:dyDescent="0.25">
      <c r="F924" s="8"/>
    </row>
    <row r="925" spans="6:6" x14ac:dyDescent="0.25">
      <c r="F925" s="8"/>
    </row>
    <row r="926" spans="6:6" x14ac:dyDescent="0.25">
      <c r="F926" s="8"/>
    </row>
    <row r="927" spans="6:6" x14ac:dyDescent="0.25">
      <c r="F927" s="8"/>
    </row>
    <row r="928" spans="6:6" x14ac:dyDescent="0.25">
      <c r="F928" s="8"/>
    </row>
    <row r="929" spans="6:6" x14ac:dyDescent="0.25">
      <c r="F929" s="8"/>
    </row>
    <row r="930" spans="6:6" x14ac:dyDescent="0.25">
      <c r="F930" s="8"/>
    </row>
    <row r="931" spans="6:6" x14ac:dyDescent="0.25">
      <c r="F931" s="8"/>
    </row>
    <row r="932" spans="6:6" x14ac:dyDescent="0.25">
      <c r="F932" s="8"/>
    </row>
    <row r="933" spans="6:6" x14ac:dyDescent="0.25">
      <c r="F933" s="8"/>
    </row>
    <row r="934" spans="6:6" x14ac:dyDescent="0.25">
      <c r="F934" s="8"/>
    </row>
    <row r="935" spans="6:6" x14ac:dyDescent="0.25">
      <c r="F935" s="8"/>
    </row>
    <row r="936" spans="6:6" x14ac:dyDescent="0.25">
      <c r="F936" s="8"/>
    </row>
    <row r="937" spans="6:6" x14ac:dyDescent="0.25">
      <c r="F937" s="8"/>
    </row>
    <row r="938" spans="6:6" x14ac:dyDescent="0.25">
      <c r="F938" s="8"/>
    </row>
    <row r="939" spans="6:6" x14ac:dyDescent="0.25">
      <c r="F939" s="8"/>
    </row>
    <row r="940" spans="6:6" x14ac:dyDescent="0.25">
      <c r="F940" s="8"/>
    </row>
    <row r="941" spans="6:6" x14ac:dyDescent="0.25">
      <c r="F941" s="8"/>
    </row>
    <row r="942" spans="6:6" x14ac:dyDescent="0.25">
      <c r="F942" s="8"/>
    </row>
    <row r="943" spans="6:6" x14ac:dyDescent="0.25">
      <c r="F943" s="8"/>
    </row>
    <row r="944" spans="6:6" x14ac:dyDescent="0.25">
      <c r="F944" s="8"/>
    </row>
    <row r="945" spans="6:6" x14ac:dyDescent="0.25">
      <c r="F945" s="8"/>
    </row>
    <row r="946" spans="6:6" x14ac:dyDescent="0.25">
      <c r="F946" s="8"/>
    </row>
    <row r="947" spans="6:6" x14ac:dyDescent="0.25">
      <c r="F947" s="8"/>
    </row>
    <row r="948" spans="6:6" x14ac:dyDescent="0.25">
      <c r="F948" s="8"/>
    </row>
    <row r="949" spans="6:6" x14ac:dyDescent="0.25">
      <c r="F949" s="8"/>
    </row>
    <row r="950" spans="6:6" x14ac:dyDescent="0.25">
      <c r="F950" s="8"/>
    </row>
    <row r="951" spans="6:6" x14ac:dyDescent="0.25">
      <c r="F951" s="8"/>
    </row>
    <row r="952" spans="6:6" x14ac:dyDescent="0.25">
      <c r="F952" s="8"/>
    </row>
    <row r="953" spans="6:6" x14ac:dyDescent="0.25">
      <c r="F953" s="8"/>
    </row>
    <row r="954" spans="6:6" x14ac:dyDescent="0.25">
      <c r="F954" s="8"/>
    </row>
    <row r="955" spans="6:6" x14ac:dyDescent="0.25">
      <c r="F955" s="8"/>
    </row>
    <row r="956" spans="6:6" x14ac:dyDescent="0.25">
      <c r="F956" s="8"/>
    </row>
    <row r="957" spans="6:6" x14ac:dyDescent="0.25">
      <c r="F957" s="8"/>
    </row>
    <row r="958" spans="6:6" x14ac:dyDescent="0.25">
      <c r="F958" s="8"/>
    </row>
    <row r="959" spans="6:6" x14ac:dyDescent="0.25">
      <c r="F959" s="8"/>
    </row>
    <row r="960" spans="6:6" x14ac:dyDescent="0.25">
      <c r="F960" s="8"/>
    </row>
    <row r="961" spans="6:6" x14ac:dyDescent="0.25">
      <c r="F961" s="8"/>
    </row>
    <row r="962" spans="6:6" x14ac:dyDescent="0.25">
      <c r="F962" s="8"/>
    </row>
    <row r="963" spans="6:6" x14ac:dyDescent="0.25">
      <c r="F963" s="8"/>
    </row>
    <row r="964" spans="6:6" x14ac:dyDescent="0.25">
      <c r="F964" s="8"/>
    </row>
    <row r="965" spans="6:6" x14ac:dyDescent="0.25">
      <c r="F965" s="8"/>
    </row>
    <row r="966" spans="6:6" x14ac:dyDescent="0.25">
      <c r="F966" s="8"/>
    </row>
    <row r="967" spans="6:6" x14ac:dyDescent="0.25">
      <c r="F967" s="8"/>
    </row>
    <row r="968" spans="6:6" x14ac:dyDescent="0.25">
      <c r="F968" s="8"/>
    </row>
    <row r="969" spans="6:6" x14ac:dyDescent="0.25">
      <c r="F969" s="8"/>
    </row>
    <row r="970" spans="6:6" x14ac:dyDescent="0.25">
      <c r="F970" s="8"/>
    </row>
    <row r="971" spans="6:6" x14ac:dyDescent="0.25">
      <c r="F971" s="8"/>
    </row>
    <row r="972" spans="6:6" x14ac:dyDescent="0.25">
      <c r="F972" s="8"/>
    </row>
    <row r="973" spans="6:6" x14ac:dyDescent="0.25">
      <c r="F973" s="8"/>
    </row>
    <row r="974" spans="6:6" x14ac:dyDescent="0.25">
      <c r="F974" s="8"/>
    </row>
    <row r="975" spans="6:6" x14ac:dyDescent="0.25">
      <c r="F975" s="8"/>
    </row>
    <row r="976" spans="6:6" x14ac:dyDescent="0.25">
      <c r="F976" s="8"/>
    </row>
    <row r="977" spans="6:6" x14ac:dyDescent="0.25">
      <c r="F977" s="8"/>
    </row>
    <row r="978" spans="6:6" x14ac:dyDescent="0.25">
      <c r="F978" s="8"/>
    </row>
    <row r="979" spans="6:6" x14ac:dyDescent="0.25">
      <c r="F979" s="8"/>
    </row>
    <row r="980" spans="6:6" x14ac:dyDescent="0.25">
      <c r="F980" s="8"/>
    </row>
    <row r="981" spans="6:6" x14ac:dyDescent="0.25">
      <c r="F981" s="8"/>
    </row>
    <row r="982" spans="6:6" x14ac:dyDescent="0.25">
      <c r="F982" s="8"/>
    </row>
    <row r="983" spans="6:6" x14ac:dyDescent="0.25">
      <c r="F983" s="8"/>
    </row>
    <row r="984" spans="6:6" x14ac:dyDescent="0.25">
      <c r="F984" s="8"/>
    </row>
    <row r="985" spans="6:6" x14ac:dyDescent="0.25">
      <c r="F985" s="8"/>
    </row>
    <row r="986" spans="6:6" x14ac:dyDescent="0.25">
      <c r="F986" s="8"/>
    </row>
    <row r="987" spans="6:6" x14ac:dyDescent="0.25">
      <c r="F987" s="8"/>
    </row>
    <row r="988" spans="6:6" x14ac:dyDescent="0.25">
      <c r="F988" s="8"/>
    </row>
    <row r="989" spans="6:6" x14ac:dyDescent="0.25">
      <c r="F989" s="8"/>
    </row>
    <row r="990" spans="6:6" x14ac:dyDescent="0.25">
      <c r="F990" s="8"/>
    </row>
    <row r="991" spans="6:6" x14ac:dyDescent="0.25">
      <c r="F991" s="8"/>
    </row>
    <row r="992" spans="6:6" x14ac:dyDescent="0.25">
      <c r="F992" s="8"/>
    </row>
    <row r="993" spans="6:6" x14ac:dyDescent="0.25">
      <c r="F993" s="8"/>
    </row>
    <row r="994" spans="6:6" x14ac:dyDescent="0.25">
      <c r="F994" s="8"/>
    </row>
    <row r="995" spans="6:6" x14ac:dyDescent="0.25">
      <c r="F995" s="8"/>
    </row>
    <row r="996" spans="6:6" x14ac:dyDescent="0.25">
      <c r="F996" s="8"/>
    </row>
    <row r="997" spans="6:6" x14ac:dyDescent="0.25">
      <c r="F997" s="8"/>
    </row>
    <row r="998" spans="6:6" x14ac:dyDescent="0.25">
      <c r="F998" s="8"/>
    </row>
    <row r="999" spans="6:6" x14ac:dyDescent="0.25">
      <c r="F999" s="8"/>
    </row>
    <row r="1000" spans="6:6" x14ac:dyDescent="0.25">
      <c r="F1000" s="8"/>
    </row>
    <row r="1001" spans="6:6" x14ac:dyDescent="0.25">
      <c r="F1001" s="8"/>
    </row>
    <row r="1002" spans="6:6" x14ac:dyDescent="0.25">
      <c r="F1002" s="8"/>
    </row>
    <row r="1003" spans="6:6" x14ac:dyDescent="0.25">
      <c r="F1003" s="8"/>
    </row>
    <row r="1004" spans="6:6" x14ac:dyDescent="0.25">
      <c r="F1004" s="8"/>
    </row>
    <row r="1005" spans="6:6" x14ac:dyDescent="0.25">
      <c r="F1005" s="8"/>
    </row>
    <row r="1006" spans="6:6" x14ac:dyDescent="0.25">
      <c r="F1006" s="8"/>
    </row>
    <row r="1007" spans="6:6" x14ac:dyDescent="0.25">
      <c r="F1007" s="8"/>
    </row>
    <row r="1008" spans="6:6" x14ac:dyDescent="0.25">
      <c r="F1008" s="8"/>
    </row>
    <row r="1009" spans="6:6" x14ac:dyDescent="0.25">
      <c r="F1009" s="8"/>
    </row>
    <row r="1010" spans="6:6" x14ac:dyDescent="0.25">
      <c r="F1010" s="8"/>
    </row>
    <row r="1011" spans="6:6" x14ac:dyDescent="0.25">
      <c r="F1011" s="8"/>
    </row>
    <row r="1012" spans="6:6" x14ac:dyDescent="0.25">
      <c r="F1012" s="8"/>
    </row>
    <row r="1013" spans="6:6" x14ac:dyDescent="0.25">
      <c r="F1013" s="8"/>
    </row>
    <row r="1014" spans="6:6" x14ac:dyDescent="0.25">
      <c r="F1014" s="8"/>
    </row>
    <row r="1015" spans="6:6" x14ac:dyDescent="0.25">
      <c r="F1015" s="8"/>
    </row>
    <row r="1016" spans="6:6" x14ac:dyDescent="0.25">
      <c r="F1016" s="8"/>
    </row>
    <row r="1017" spans="6:6" x14ac:dyDescent="0.25">
      <c r="F1017" s="8"/>
    </row>
    <row r="1018" spans="6:6" x14ac:dyDescent="0.25">
      <c r="F1018" s="8"/>
    </row>
    <row r="1019" spans="6:6" x14ac:dyDescent="0.25">
      <c r="F1019" s="8"/>
    </row>
    <row r="1020" spans="6:6" x14ac:dyDescent="0.25">
      <c r="F1020" s="8"/>
    </row>
    <row r="1021" spans="6:6" x14ac:dyDescent="0.25">
      <c r="F1021" s="8"/>
    </row>
    <row r="1022" spans="6:6" x14ac:dyDescent="0.25">
      <c r="F1022" s="8"/>
    </row>
    <row r="1023" spans="6:6" x14ac:dyDescent="0.25">
      <c r="F1023" s="8"/>
    </row>
    <row r="1024" spans="6:6" x14ac:dyDescent="0.25">
      <c r="F1024" s="8"/>
    </row>
    <row r="1025" spans="6:6" x14ac:dyDescent="0.25">
      <c r="F1025" s="8"/>
    </row>
    <row r="1026" spans="6:6" x14ac:dyDescent="0.25">
      <c r="F1026" s="8"/>
    </row>
    <row r="1027" spans="6:6" x14ac:dyDescent="0.25">
      <c r="F1027" s="8"/>
    </row>
    <row r="1028" spans="6:6" x14ac:dyDescent="0.25">
      <c r="F1028" s="8"/>
    </row>
    <row r="1029" spans="6:6" x14ac:dyDescent="0.25">
      <c r="F1029" s="8"/>
    </row>
    <row r="1030" spans="6:6" x14ac:dyDescent="0.25">
      <c r="F1030" s="8"/>
    </row>
    <row r="1031" spans="6:6" x14ac:dyDescent="0.25">
      <c r="F1031" s="8"/>
    </row>
    <row r="1032" spans="6:6" x14ac:dyDescent="0.25">
      <c r="F1032" s="8"/>
    </row>
    <row r="1033" spans="6:6" x14ac:dyDescent="0.25">
      <c r="F1033" s="8"/>
    </row>
    <row r="1034" spans="6:6" x14ac:dyDescent="0.25">
      <c r="F1034" s="8"/>
    </row>
    <row r="1035" spans="6:6" x14ac:dyDescent="0.25">
      <c r="F1035" s="8"/>
    </row>
    <row r="1036" spans="6:6" x14ac:dyDescent="0.25">
      <c r="F1036" s="8"/>
    </row>
    <row r="1037" spans="6:6" x14ac:dyDescent="0.25">
      <c r="F1037" s="8"/>
    </row>
    <row r="1038" spans="6:6" x14ac:dyDescent="0.25">
      <c r="F1038" s="8"/>
    </row>
    <row r="1039" spans="6:6" x14ac:dyDescent="0.25">
      <c r="F1039" s="8"/>
    </row>
    <row r="1040" spans="6:6" x14ac:dyDescent="0.25">
      <c r="F1040" s="8"/>
    </row>
    <row r="1041" spans="6:6" x14ac:dyDescent="0.25">
      <c r="F1041" s="8"/>
    </row>
    <row r="1042" spans="6:6" x14ac:dyDescent="0.25">
      <c r="F1042" s="8"/>
    </row>
    <row r="1043" spans="6:6" x14ac:dyDescent="0.25">
      <c r="F1043" s="8"/>
    </row>
    <row r="1044" spans="6:6" x14ac:dyDescent="0.25">
      <c r="F1044" s="8"/>
    </row>
    <row r="1045" spans="6:6" x14ac:dyDescent="0.25">
      <c r="F1045" s="8"/>
    </row>
    <row r="1046" spans="6:6" x14ac:dyDescent="0.25">
      <c r="F1046" s="8"/>
    </row>
    <row r="1047" spans="6:6" x14ac:dyDescent="0.25">
      <c r="F1047" s="8"/>
    </row>
    <row r="1048" spans="6:6" x14ac:dyDescent="0.25">
      <c r="F1048" s="8"/>
    </row>
    <row r="1049" spans="6:6" x14ac:dyDescent="0.25">
      <c r="F1049" s="8"/>
    </row>
    <row r="1050" spans="6:6" x14ac:dyDescent="0.25">
      <c r="F1050" s="8"/>
    </row>
    <row r="1051" spans="6:6" x14ac:dyDescent="0.25">
      <c r="F1051" s="8"/>
    </row>
    <row r="1052" spans="6:6" x14ac:dyDescent="0.25">
      <c r="F1052" s="8"/>
    </row>
    <row r="1053" spans="6:6" x14ac:dyDescent="0.25">
      <c r="F1053" s="8"/>
    </row>
    <row r="1054" spans="6:6" x14ac:dyDescent="0.25">
      <c r="F1054" s="8"/>
    </row>
    <row r="1055" spans="6:6" x14ac:dyDescent="0.25">
      <c r="F1055" s="8"/>
    </row>
    <row r="1056" spans="6:6" x14ac:dyDescent="0.25">
      <c r="F1056" s="8"/>
    </row>
    <row r="1057" spans="6:6" x14ac:dyDescent="0.25">
      <c r="F1057" s="8"/>
    </row>
    <row r="1058" spans="6:6" x14ac:dyDescent="0.25">
      <c r="F1058" s="8"/>
    </row>
    <row r="1059" spans="6:6" x14ac:dyDescent="0.25">
      <c r="F1059" s="8"/>
    </row>
    <row r="1060" spans="6:6" x14ac:dyDescent="0.25">
      <c r="F1060" s="8"/>
    </row>
    <row r="1061" spans="6:6" x14ac:dyDescent="0.25">
      <c r="F1061" s="8"/>
    </row>
    <row r="1062" spans="6:6" x14ac:dyDescent="0.25">
      <c r="F1062" s="8"/>
    </row>
    <row r="1063" spans="6:6" x14ac:dyDescent="0.25">
      <c r="F1063" s="8"/>
    </row>
    <row r="1064" spans="6:6" x14ac:dyDescent="0.25">
      <c r="F1064" s="8"/>
    </row>
    <row r="1065" spans="6:6" x14ac:dyDescent="0.25">
      <c r="F1065" s="8"/>
    </row>
    <row r="1066" spans="6:6" x14ac:dyDescent="0.25">
      <c r="F1066" s="8"/>
    </row>
    <row r="1067" spans="6:6" x14ac:dyDescent="0.25">
      <c r="F1067" s="8"/>
    </row>
    <row r="1068" spans="6:6" x14ac:dyDescent="0.25">
      <c r="F1068" s="8"/>
    </row>
    <row r="1069" spans="6:6" x14ac:dyDescent="0.25">
      <c r="F1069" s="8"/>
    </row>
    <row r="1070" spans="6:6" x14ac:dyDescent="0.25">
      <c r="F1070" s="8"/>
    </row>
    <row r="1071" spans="6:6" x14ac:dyDescent="0.25">
      <c r="F1071" s="8"/>
    </row>
    <row r="1072" spans="6:6" x14ac:dyDescent="0.25">
      <c r="F1072" s="8"/>
    </row>
    <row r="1073" spans="6:6" x14ac:dyDescent="0.25">
      <c r="F1073" s="8"/>
    </row>
    <row r="1074" spans="6:6" x14ac:dyDescent="0.25">
      <c r="F1074" s="8"/>
    </row>
    <row r="1075" spans="6:6" x14ac:dyDescent="0.25">
      <c r="F1075" s="8"/>
    </row>
    <row r="1076" spans="6:6" x14ac:dyDescent="0.25">
      <c r="F1076" s="8"/>
    </row>
    <row r="1077" spans="6:6" x14ac:dyDescent="0.25">
      <c r="F1077" s="8"/>
    </row>
    <row r="1078" spans="6:6" x14ac:dyDescent="0.25">
      <c r="F1078" s="8"/>
    </row>
    <row r="1079" spans="6:6" x14ac:dyDescent="0.25">
      <c r="F1079" s="8"/>
    </row>
    <row r="1080" spans="6:6" x14ac:dyDescent="0.25">
      <c r="F1080" s="8"/>
    </row>
    <row r="1081" spans="6:6" x14ac:dyDescent="0.25">
      <c r="F1081" s="8"/>
    </row>
    <row r="1082" spans="6:6" x14ac:dyDescent="0.25">
      <c r="F1082" s="8"/>
    </row>
    <row r="1083" spans="6:6" x14ac:dyDescent="0.25">
      <c r="F1083" s="8"/>
    </row>
    <row r="1084" spans="6:6" x14ac:dyDescent="0.25">
      <c r="F1084" s="8"/>
    </row>
    <row r="1085" spans="6:6" x14ac:dyDescent="0.25">
      <c r="F1085" s="8"/>
    </row>
    <row r="1086" spans="6:6" x14ac:dyDescent="0.25">
      <c r="F1086" s="8"/>
    </row>
    <row r="1087" spans="6:6" x14ac:dyDescent="0.25">
      <c r="F1087" s="8"/>
    </row>
    <row r="1088" spans="6:6" x14ac:dyDescent="0.25">
      <c r="F1088" s="8"/>
    </row>
    <row r="1089" spans="6:6" x14ac:dyDescent="0.25">
      <c r="F1089" s="8"/>
    </row>
    <row r="1090" spans="6:6" x14ac:dyDescent="0.25">
      <c r="F1090" s="8"/>
    </row>
    <row r="1091" spans="6:6" x14ac:dyDescent="0.25">
      <c r="F1091" s="8"/>
    </row>
    <row r="1092" spans="6:6" x14ac:dyDescent="0.25">
      <c r="F1092" s="8"/>
    </row>
    <row r="1093" spans="6:6" x14ac:dyDescent="0.25">
      <c r="F1093" s="8"/>
    </row>
    <row r="1094" spans="6:6" x14ac:dyDescent="0.25">
      <c r="F1094" s="8"/>
    </row>
    <row r="1095" spans="6:6" x14ac:dyDescent="0.25">
      <c r="F1095" s="8"/>
    </row>
    <row r="1096" spans="6:6" x14ac:dyDescent="0.25">
      <c r="F1096" s="8"/>
    </row>
    <row r="1097" spans="6:6" x14ac:dyDescent="0.25">
      <c r="F1097" s="8"/>
    </row>
    <row r="1098" spans="6:6" x14ac:dyDescent="0.25">
      <c r="F1098" s="8"/>
    </row>
    <row r="1099" spans="6:6" x14ac:dyDescent="0.25">
      <c r="F1099" s="8"/>
    </row>
    <row r="1100" spans="6:6" x14ac:dyDescent="0.25">
      <c r="F1100" s="8"/>
    </row>
    <row r="1101" spans="6:6" x14ac:dyDescent="0.25">
      <c r="F1101" s="8"/>
    </row>
    <row r="1102" spans="6:6" x14ac:dyDescent="0.25">
      <c r="F1102" s="8"/>
    </row>
    <row r="1103" spans="6:6" x14ac:dyDescent="0.25">
      <c r="F1103" s="8"/>
    </row>
    <row r="1104" spans="6:6" x14ac:dyDescent="0.25">
      <c r="F1104" s="8"/>
    </row>
    <row r="1105" spans="6:6" x14ac:dyDescent="0.25">
      <c r="F1105" s="8"/>
    </row>
    <row r="1106" spans="6:6" x14ac:dyDescent="0.25">
      <c r="F1106" s="8"/>
    </row>
    <row r="1107" spans="6:6" x14ac:dyDescent="0.25">
      <c r="F1107" s="8"/>
    </row>
    <row r="1108" spans="6:6" x14ac:dyDescent="0.25">
      <c r="F1108" s="8"/>
    </row>
    <row r="1109" spans="6:6" x14ac:dyDescent="0.25">
      <c r="F1109" s="8"/>
    </row>
    <row r="1110" spans="6:6" x14ac:dyDescent="0.25">
      <c r="F1110" s="8"/>
    </row>
    <row r="1111" spans="6:6" x14ac:dyDescent="0.25">
      <c r="F1111" s="8"/>
    </row>
    <row r="1112" spans="6:6" x14ac:dyDescent="0.25">
      <c r="F1112" s="8"/>
    </row>
    <row r="1113" spans="6:6" x14ac:dyDescent="0.25">
      <c r="F1113" s="8"/>
    </row>
    <row r="1114" spans="6:6" x14ac:dyDescent="0.25">
      <c r="F1114" s="8"/>
    </row>
    <row r="1115" spans="6:6" x14ac:dyDescent="0.25">
      <c r="F1115" s="8"/>
    </row>
    <row r="1116" spans="6:6" x14ac:dyDescent="0.25">
      <c r="F1116" s="8"/>
    </row>
    <row r="1117" spans="6:6" x14ac:dyDescent="0.25">
      <c r="F1117" s="8"/>
    </row>
    <row r="1118" spans="6:6" x14ac:dyDescent="0.25">
      <c r="F1118" s="8"/>
    </row>
    <row r="1119" spans="6:6" x14ac:dyDescent="0.25">
      <c r="F1119" s="8"/>
    </row>
    <row r="1120" spans="6:6" x14ac:dyDescent="0.25">
      <c r="F1120" s="8"/>
    </row>
    <row r="1121" spans="6:6" x14ac:dyDescent="0.25">
      <c r="F1121" s="8"/>
    </row>
    <row r="1122" spans="6:6" x14ac:dyDescent="0.25">
      <c r="F1122" s="8"/>
    </row>
    <row r="1123" spans="6:6" x14ac:dyDescent="0.25">
      <c r="F1123" s="8"/>
    </row>
    <row r="1124" spans="6:6" x14ac:dyDescent="0.25">
      <c r="F1124" s="8"/>
    </row>
    <row r="1125" spans="6:6" x14ac:dyDescent="0.25">
      <c r="F1125" s="8"/>
    </row>
    <row r="1126" spans="6:6" x14ac:dyDescent="0.25">
      <c r="F1126" s="8"/>
    </row>
    <row r="1127" spans="6:6" x14ac:dyDescent="0.25">
      <c r="F1127" s="8"/>
    </row>
    <row r="1128" spans="6:6" x14ac:dyDescent="0.25">
      <c r="F1128" s="8"/>
    </row>
    <row r="1129" spans="6:6" x14ac:dyDescent="0.25">
      <c r="F1129" s="8"/>
    </row>
    <row r="1130" spans="6:6" x14ac:dyDescent="0.25">
      <c r="F1130" s="8"/>
    </row>
    <row r="1131" spans="6:6" x14ac:dyDescent="0.25">
      <c r="F1131" s="8"/>
    </row>
    <row r="1132" spans="6:6" x14ac:dyDescent="0.25">
      <c r="F1132" s="8"/>
    </row>
    <row r="1133" spans="6:6" x14ac:dyDescent="0.25">
      <c r="F1133" s="8"/>
    </row>
    <row r="1134" spans="6:6" x14ac:dyDescent="0.25">
      <c r="F1134" s="8"/>
    </row>
    <row r="1135" spans="6:6" x14ac:dyDescent="0.25">
      <c r="F1135" s="8"/>
    </row>
    <row r="1136" spans="6:6" x14ac:dyDescent="0.25">
      <c r="F1136" s="8"/>
    </row>
    <row r="1137" spans="6:6" x14ac:dyDescent="0.25">
      <c r="F1137" s="8"/>
    </row>
    <row r="1138" spans="6:6" x14ac:dyDescent="0.25">
      <c r="F1138" s="8"/>
    </row>
    <row r="1139" spans="6:6" x14ac:dyDescent="0.25">
      <c r="F1139" s="8"/>
    </row>
    <row r="1140" spans="6:6" x14ac:dyDescent="0.25">
      <c r="F1140" s="8"/>
    </row>
    <row r="1141" spans="6:6" x14ac:dyDescent="0.25">
      <c r="F1141" s="8"/>
    </row>
    <row r="1142" spans="6:6" x14ac:dyDescent="0.25">
      <c r="F1142" s="8"/>
    </row>
    <row r="1143" spans="6:6" x14ac:dyDescent="0.25">
      <c r="F1143" s="8"/>
    </row>
    <row r="1144" spans="6:6" x14ac:dyDescent="0.25">
      <c r="F1144" s="8"/>
    </row>
    <row r="1145" spans="6:6" x14ac:dyDescent="0.25">
      <c r="F1145" s="8"/>
    </row>
    <row r="1146" spans="6:6" x14ac:dyDescent="0.25">
      <c r="F1146" s="8"/>
    </row>
    <row r="1147" spans="6:6" x14ac:dyDescent="0.25">
      <c r="F1147" s="8"/>
    </row>
    <row r="1148" spans="6:6" x14ac:dyDescent="0.25">
      <c r="F1148" s="8"/>
    </row>
    <row r="1149" spans="6:6" x14ac:dyDescent="0.25">
      <c r="F1149" s="8"/>
    </row>
    <row r="1150" spans="6:6" x14ac:dyDescent="0.25">
      <c r="F1150" s="8"/>
    </row>
    <row r="1151" spans="6:6" x14ac:dyDescent="0.25">
      <c r="F1151" s="8"/>
    </row>
    <row r="1152" spans="6:6" x14ac:dyDescent="0.25">
      <c r="F1152" s="8"/>
    </row>
    <row r="1153" spans="6:6" x14ac:dyDescent="0.25">
      <c r="F1153" s="8"/>
    </row>
    <row r="1154" spans="6:6" x14ac:dyDescent="0.25">
      <c r="F1154" s="8"/>
    </row>
    <row r="1155" spans="6:6" x14ac:dyDescent="0.25">
      <c r="F1155" s="8"/>
    </row>
    <row r="1156" spans="6:6" x14ac:dyDescent="0.25">
      <c r="F1156" s="8"/>
    </row>
    <row r="1157" spans="6:6" x14ac:dyDescent="0.25">
      <c r="F1157" s="8"/>
    </row>
    <row r="1158" spans="6:6" x14ac:dyDescent="0.25">
      <c r="F1158" s="8"/>
    </row>
    <row r="1159" spans="6:6" x14ac:dyDescent="0.25">
      <c r="F1159" s="8"/>
    </row>
    <row r="1160" spans="6:6" x14ac:dyDescent="0.25">
      <c r="F1160" s="8"/>
    </row>
    <row r="1161" spans="6:6" x14ac:dyDescent="0.25">
      <c r="F1161" s="8"/>
    </row>
    <row r="1162" spans="6:6" x14ac:dyDescent="0.25">
      <c r="F1162" s="8"/>
    </row>
    <row r="1163" spans="6:6" x14ac:dyDescent="0.25">
      <c r="F1163" s="8"/>
    </row>
    <row r="1164" spans="6:6" x14ac:dyDescent="0.25">
      <c r="F1164" s="8"/>
    </row>
    <row r="1165" spans="6:6" x14ac:dyDescent="0.25">
      <c r="F1165" s="8"/>
    </row>
    <row r="1166" spans="6:6" x14ac:dyDescent="0.25">
      <c r="F1166" s="8"/>
    </row>
    <row r="1167" spans="6:6" x14ac:dyDescent="0.25">
      <c r="F1167" s="8"/>
    </row>
    <row r="1168" spans="6:6" x14ac:dyDescent="0.25">
      <c r="F1168" s="8"/>
    </row>
    <row r="1169" spans="6:6" x14ac:dyDescent="0.25">
      <c r="F1169" s="8"/>
    </row>
    <row r="1170" spans="6:6" x14ac:dyDescent="0.25">
      <c r="F1170" s="8"/>
    </row>
    <row r="1171" spans="6:6" x14ac:dyDescent="0.25">
      <c r="F1171" s="8"/>
    </row>
    <row r="1172" spans="6:6" x14ac:dyDescent="0.25">
      <c r="F1172" s="8"/>
    </row>
    <row r="1173" spans="6:6" x14ac:dyDescent="0.25">
      <c r="F1173" s="8"/>
    </row>
    <row r="1174" spans="6:6" x14ac:dyDescent="0.25">
      <c r="F1174" s="8"/>
    </row>
    <row r="1175" spans="6:6" x14ac:dyDescent="0.25">
      <c r="F1175" s="8"/>
    </row>
    <row r="1176" spans="6:6" x14ac:dyDescent="0.25">
      <c r="F1176" s="8"/>
    </row>
    <row r="1177" spans="6:6" x14ac:dyDescent="0.25">
      <c r="F1177" s="8"/>
    </row>
    <row r="1178" spans="6:6" x14ac:dyDescent="0.25">
      <c r="F1178" s="8"/>
    </row>
    <row r="1179" spans="6:6" x14ac:dyDescent="0.25">
      <c r="F1179" s="8"/>
    </row>
    <row r="1180" spans="6:6" x14ac:dyDescent="0.25">
      <c r="F1180" s="8"/>
    </row>
    <row r="1181" spans="6:6" x14ac:dyDescent="0.25">
      <c r="F1181" s="8"/>
    </row>
    <row r="1182" spans="6:6" x14ac:dyDescent="0.25">
      <c r="F1182" s="8"/>
    </row>
    <row r="1183" spans="6:6" x14ac:dyDescent="0.25">
      <c r="F1183" s="8"/>
    </row>
    <row r="1184" spans="6:6" x14ac:dyDescent="0.25">
      <c r="F1184" s="8"/>
    </row>
    <row r="1185" spans="6:6" x14ac:dyDescent="0.25">
      <c r="F1185" s="8"/>
    </row>
    <row r="1186" spans="6:6" x14ac:dyDescent="0.25">
      <c r="F1186" s="8"/>
    </row>
    <row r="1187" spans="6:6" x14ac:dyDescent="0.25">
      <c r="F1187" s="8"/>
    </row>
    <row r="1188" spans="6:6" x14ac:dyDescent="0.25">
      <c r="F1188" s="8"/>
    </row>
    <row r="1189" spans="6:6" x14ac:dyDescent="0.25">
      <c r="F1189" s="8"/>
    </row>
    <row r="1190" spans="6:6" x14ac:dyDescent="0.25">
      <c r="F1190" s="8"/>
    </row>
    <row r="1191" spans="6:6" x14ac:dyDescent="0.25">
      <c r="F1191" s="8"/>
    </row>
    <row r="1192" spans="6:6" x14ac:dyDescent="0.25">
      <c r="F1192" s="8"/>
    </row>
    <row r="1193" spans="6:6" x14ac:dyDescent="0.25">
      <c r="F1193" s="8"/>
    </row>
    <row r="1194" spans="6:6" x14ac:dyDescent="0.25">
      <c r="F1194" s="8"/>
    </row>
    <row r="1195" spans="6:6" x14ac:dyDescent="0.25">
      <c r="F1195" s="8"/>
    </row>
    <row r="1196" spans="6:6" x14ac:dyDescent="0.25">
      <c r="F1196" s="8"/>
    </row>
    <row r="1197" spans="6:6" x14ac:dyDescent="0.25">
      <c r="F1197" s="8"/>
    </row>
    <row r="1198" spans="6:6" x14ac:dyDescent="0.25">
      <c r="F1198" s="8"/>
    </row>
    <row r="1199" spans="6:6" x14ac:dyDescent="0.25">
      <c r="F1199" s="8"/>
    </row>
    <row r="1200" spans="6:6" x14ac:dyDescent="0.25">
      <c r="F1200" s="8"/>
    </row>
    <row r="1201" spans="6:6" x14ac:dyDescent="0.25">
      <c r="F1201" s="8"/>
    </row>
    <row r="1202" spans="6:6" x14ac:dyDescent="0.25">
      <c r="F1202" s="8"/>
    </row>
    <row r="1203" spans="6:6" x14ac:dyDescent="0.25">
      <c r="F1203" s="8"/>
    </row>
    <row r="1204" spans="6:6" x14ac:dyDescent="0.25">
      <c r="F1204" s="8"/>
    </row>
    <row r="1205" spans="6:6" x14ac:dyDescent="0.25">
      <c r="F1205" s="8"/>
    </row>
    <row r="1206" spans="6:6" x14ac:dyDescent="0.25">
      <c r="F1206" s="8"/>
    </row>
    <row r="1207" spans="6:6" x14ac:dyDescent="0.25">
      <c r="F1207" s="8"/>
    </row>
    <row r="1208" spans="6:6" x14ac:dyDescent="0.25">
      <c r="F1208" s="8"/>
    </row>
    <row r="1209" spans="6:6" x14ac:dyDescent="0.25">
      <c r="F1209" s="8"/>
    </row>
    <row r="1210" spans="6:6" x14ac:dyDescent="0.25">
      <c r="F1210" s="8"/>
    </row>
    <row r="1211" spans="6:6" x14ac:dyDescent="0.25">
      <c r="F1211" s="8"/>
    </row>
    <row r="1212" spans="6:6" x14ac:dyDescent="0.25">
      <c r="F1212" s="8"/>
    </row>
    <row r="1213" spans="6:6" x14ac:dyDescent="0.25">
      <c r="F1213" s="8"/>
    </row>
    <row r="1214" spans="6:6" x14ac:dyDescent="0.25">
      <c r="F1214" s="8"/>
    </row>
    <row r="1215" spans="6:6" x14ac:dyDescent="0.25">
      <c r="F1215" s="8"/>
    </row>
    <row r="1216" spans="6:6" x14ac:dyDescent="0.25">
      <c r="F1216" s="8"/>
    </row>
    <row r="1217" spans="6:6" x14ac:dyDescent="0.25">
      <c r="F1217" s="8"/>
    </row>
    <row r="1218" spans="6:6" x14ac:dyDescent="0.25">
      <c r="F1218" s="8"/>
    </row>
    <row r="1219" spans="6:6" x14ac:dyDescent="0.25">
      <c r="F1219" s="8"/>
    </row>
    <row r="1220" spans="6:6" x14ac:dyDescent="0.25">
      <c r="F1220" s="8"/>
    </row>
    <row r="1221" spans="6:6" x14ac:dyDescent="0.25">
      <c r="F1221" s="8"/>
    </row>
    <row r="1222" spans="6:6" x14ac:dyDescent="0.25">
      <c r="F1222" s="8"/>
    </row>
    <row r="1223" spans="6:6" x14ac:dyDescent="0.25">
      <c r="F1223" s="8"/>
    </row>
    <row r="1224" spans="6:6" x14ac:dyDescent="0.25">
      <c r="F1224" s="8"/>
    </row>
    <row r="1225" spans="6:6" x14ac:dyDescent="0.25">
      <c r="F1225" s="8"/>
    </row>
    <row r="1226" spans="6:6" x14ac:dyDescent="0.25">
      <c r="F1226" s="8"/>
    </row>
    <row r="1227" spans="6:6" x14ac:dyDescent="0.25">
      <c r="F1227" s="8"/>
    </row>
    <row r="1228" spans="6:6" x14ac:dyDescent="0.25">
      <c r="F1228" s="8"/>
    </row>
    <row r="1229" spans="6:6" x14ac:dyDescent="0.25">
      <c r="F1229" s="8"/>
    </row>
    <row r="1230" spans="6:6" x14ac:dyDescent="0.25">
      <c r="F1230" s="8"/>
    </row>
    <row r="1231" spans="6:6" x14ac:dyDescent="0.25">
      <c r="F1231" s="8"/>
    </row>
    <row r="1232" spans="6:6" x14ac:dyDescent="0.25">
      <c r="F1232" s="8"/>
    </row>
    <row r="1233" spans="6:6" x14ac:dyDescent="0.25">
      <c r="F1233" s="8"/>
    </row>
    <row r="1234" spans="6:6" x14ac:dyDescent="0.25">
      <c r="F1234" s="8"/>
    </row>
    <row r="1235" spans="6:6" x14ac:dyDescent="0.25">
      <c r="F1235" s="8"/>
    </row>
    <row r="1236" spans="6:6" x14ac:dyDescent="0.25">
      <c r="F1236" s="8"/>
    </row>
    <row r="1237" spans="6:6" x14ac:dyDescent="0.25">
      <c r="F1237" s="8"/>
    </row>
    <row r="1238" spans="6:6" x14ac:dyDescent="0.25">
      <c r="F1238" s="8"/>
    </row>
    <row r="1239" spans="6:6" x14ac:dyDescent="0.25">
      <c r="F1239" s="8"/>
    </row>
    <row r="1240" spans="6:6" x14ac:dyDescent="0.25">
      <c r="F1240" s="8"/>
    </row>
    <row r="1241" spans="6:6" x14ac:dyDescent="0.25">
      <c r="F1241" s="8"/>
    </row>
    <row r="1242" spans="6:6" x14ac:dyDescent="0.25">
      <c r="F1242" s="8"/>
    </row>
    <row r="1243" spans="6:6" x14ac:dyDescent="0.25">
      <c r="F1243" s="8"/>
    </row>
    <row r="1244" spans="6:6" x14ac:dyDescent="0.25">
      <c r="F1244" s="8"/>
    </row>
    <row r="1245" spans="6:6" x14ac:dyDescent="0.25">
      <c r="F1245" s="8"/>
    </row>
    <row r="1246" spans="6:6" x14ac:dyDescent="0.25">
      <c r="F1246" s="8"/>
    </row>
    <row r="1247" spans="6:6" x14ac:dyDescent="0.25">
      <c r="F1247" s="8"/>
    </row>
    <row r="1248" spans="6:6" x14ac:dyDescent="0.25">
      <c r="F1248" s="8"/>
    </row>
    <row r="1249" spans="6:6" x14ac:dyDescent="0.25">
      <c r="F1249" s="8"/>
    </row>
    <row r="1250" spans="6:6" x14ac:dyDescent="0.25">
      <c r="F1250" s="8"/>
    </row>
    <row r="1251" spans="6:6" x14ac:dyDescent="0.25">
      <c r="F1251" s="8"/>
    </row>
    <row r="1252" spans="6:6" x14ac:dyDescent="0.25">
      <c r="F1252" s="8"/>
    </row>
    <row r="1253" spans="6:6" x14ac:dyDescent="0.25">
      <c r="F1253" s="8"/>
    </row>
    <row r="1254" spans="6:6" x14ac:dyDescent="0.25">
      <c r="F1254" s="8"/>
    </row>
    <row r="1255" spans="6:6" x14ac:dyDescent="0.25">
      <c r="F1255" s="8"/>
    </row>
    <row r="1256" spans="6:6" x14ac:dyDescent="0.25">
      <c r="F1256" s="8"/>
    </row>
    <row r="1257" spans="6:6" x14ac:dyDescent="0.25">
      <c r="F1257" s="8"/>
    </row>
    <row r="1258" spans="6:6" x14ac:dyDescent="0.25">
      <c r="F1258" s="8"/>
    </row>
    <row r="1259" spans="6:6" x14ac:dyDescent="0.25">
      <c r="F1259" s="8"/>
    </row>
    <row r="1260" spans="6:6" x14ac:dyDescent="0.25">
      <c r="F1260" s="8"/>
    </row>
    <row r="1261" spans="6:6" x14ac:dyDescent="0.25">
      <c r="F1261" s="8"/>
    </row>
    <row r="1262" spans="6:6" x14ac:dyDescent="0.25">
      <c r="F1262" s="8"/>
    </row>
    <row r="1263" spans="6:6" x14ac:dyDescent="0.25">
      <c r="F1263" s="8"/>
    </row>
    <row r="1264" spans="6:6" x14ac:dyDescent="0.25">
      <c r="F1264" s="8"/>
    </row>
    <row r="1265" spans="6:6" x14ac:dyDescent="0.25">
      <c r="F1265" s="8"/>
    </row>
    <row r="1266" spans="6:6" x14ac:dyDescent="0.25">
      <c r="F1266" s="8"/>
    </row>
    <row r="1267" spans="6:6" x14ac:dyDescent="0.25">
      <c r="F1267" s="8"/>
    </row>
    <row r="1268" spans="6:6" x14ac:dyDescent="0.25">
      <c r="F1268" s="8"/>
    </row>
    <row r="1269" spans="6:6" x14ac:dyDescent="0.25">
      <c r="F1269" s="8"/>
    </row>
    <row r="1270" spans="6:6" x14ac:dyDescent="0.25">
      <c r="F1270" s="8"/>
    </row>
    <row r="1271" spans="6:6" x14ac:dyDescent="0.25">
      <c r="F1271" s="8"/>
    </row>
    <row r="1272" spans="6:6" x14ac:dyDescent="0.25">
      <c r="F1272" s="8"/>
    </row>
    <row r="1273" spans="6:6" x14ac:dyDescent="0.25">
      <c r="F1273" s="8"/>
    </row>
    <row r="1274" spans="6:6" x14ac:dyDescent="0.25">
      <c r="F1274" s="8"/>
    </row>
    <row r="1275" spans="6:6" x14ac:dyDescent="0.25">
      <c r="F1275" s="8"/>
    </row>
    <row r="1276" spans="6:6" x14ac:dyDescent="0.25">
      <c r="F1276" s="8"/>
    </row>
    <row r="1277" spans="6:6" x14ac:dyDescent="0.25">
      <c r="F1277" s="8"/>
    </row>
    <row r="1278" spans="6:6" x14ac:dyDescent="0.25">
      <c r="F1278" s="8"/>
    </row>
    <row r="1279" spans="6:6" x14ac:dyDescent="0.25">
      <c r="F1279" s="8"/>
    </row>
    <row r="1280" spans="6:6" x14ac:dyDescent="0.25">
      <c r="F1280" s="8"/>
    </row>
    <row r="1281" spans="6:6" x14ac:dyDescent="0.25">
      <c r="F1281" s="8"/>
    </row>
    <row r="1282" spans="6:6" x14ac:dyDescent="0.25">
      <c r="F1282" s="8"/>
    </row>
    <row r="1283" spans="6:6" x14ac:dyDescent="0.25">
      <c r="F1283" s="8"/>
    </row>
    <row r="1284" spans="6:6" x14ac:dyDescent="0.25">
      <c r="F1284" s="8"/>
    </row>
    <row r="1285" spans="6:6" x14ac:dyDescent="0.25">
      <c r="F1285" s="8"/>
    </row>
    <row r="1286" spans="6:6" x14ac:dyDescent="0.25">
      <c r="F1286" s="8"/>
    </row>
    <row r="1287" spans="6:6" x14ac:dyDescent="0.25">
      <c r="F1287" s="8"/>
    </row>
    <row r="1288" spans="6:6" x14ac:dyDescent="0.25">
      <c r="F1288" s="8"/>
    </row>
    <row r="1289" spans="6:6" x14ac:dyDescent="0.25">
      <c r="F1289" s="8"/>
    </row>
    <row r="1290" spans="6:6" x14ac:dyDescent="0.25">
      <c r="F1290" s="8"/>
    </row>
    <row r="1291" spans="6:6" x14ac:dyDescent="0.25">
      <c r="F1291" s="8"/>
    </row>
    <row r="1292" spans="6:6" x14ac:dyDescent="0.25">
      <c r="F1292" s="8"/>
    </row>
    <row r="1293" spans="6:6" x14ac:dyDescent="0.25">
      <c r="F1293" s="8"/>
    </row>
    <row r="1294" spans="6:6" x14ac:dyDescent="0.25">
      <c r="F1294" s="8"/>
    </row>
    <row r="1295" spans="6:6" x14ac:dyDescent="0.25">
      <c r="F1295" s="8"/>
    </row>
    <row r="1296" spans="6:6" x14ac:dyDescent="0.25">
      <c r="F1296" s="8"/>
    </row>
    <row r="1297" spans="6:6" x14ac:dyDescent="0.25">
      <c r="F1297" s="8"/>
    </row>
    <row r="1298" spans="6:6" x14ac:dyDescent="0.25">
      <c r="F1298" s="8"/>
    </row>
    <row r="1299" spans="6:6" x14ac:dyDescent="0.25">
      <c r="F1299" s="8"/>
    </row>
    <row r="1300" spans="6:6" x14ac:dyDescent="0.25">
      <c r="F1300" s="8"/>
    </row>
    <row r="1301" spans="6:6" x14ac:dyDescent="0.25">
      <c r="F1301" s="8"/>
    </row>
    <row r="1302" spans="6:6" x14ac:dyDescent="0.25">
      <c r="F1302" s="8"/>
    </row>
    <row r="1303" spans="6:6" x14ac:dyDescent="0.25">
      <c r="F1303" s="8"/>
    </row>
    <row r="1304" spans="6:6" x14ac:dyDescent="0.25">
      <c r="F1304" s="8"/>
    </row>
    <row r="1305" spans="6:6" x14ac:dyDescent="0.25">
      <c r="F1305" s="8"/>
    </row>
    <row r="1306" spans="6:6" x14ac:dyDescent="0.25">
      <c r="F1306" s="8"/>
    </row>
    <row r="1307" spans="6:6" x14ac:dyDescent="0.25">
      <c r="F1307" s="8"/>
    </row>
    <row r="1308" spans="6:6" x14ac:dyDescent="0.25">
      <c r="F1308" s="8"/>
    </row>
    <row r="1309" spans="6:6" x14ac:dyDescent="0.25">
      <c r="F1309" s="8"/>
    </row>
    <row r="1310" spans="6:6" x14ac:dyDescent="0.25">
      <c r="F1310" s="8"/>
    </row>
    <row r="1311" spans="6:6" x14ac:dyDescent="0.25">
      <c r="F1311" s="8"/>
    </row>
    <row r="1312" spans="6:6" x14ac:dyDescent="0.25">
      <c r="F1312" s="8"/>
    </row>
    <row r="1313" spans="6:6" x14ac:dyDescent="0.25">
      <c r="F1313" s="8"/>
    </row>
    <row r="1314" spans="6:6" x14ac:dyDescent="0.25">
      <c r="F1314" s="8"/>
    </row>
    <row r="1315" spans="6:6" x14ac:dyDescent="0.25">
      <c r="F1315" s="8"/>
    </row>
    <row r="1316" spans="6:6" x14ac:dyDescent="0.25">
      <c r="F1316" s="8"/>
    </row>
    <row r="1317" spans="6:6" x14ac:dyDescent="0.25">
      <c r="F1317" s="8"/>
    </row>
    <row r="1318" spans="6:6" x14ac:dyDescent="0.25">
      <c r="F1318" s="8"/>
    </row>
    <row r="1319" spans="6:6" x14ac:dyDescent="0.25">
      <c r="F1319" s="8"/>
    </row>
    <row r="1320" spans="6:6" x14ac:dyDescent="0.25">
      <c r="F1320" s="8"/>
    </row>
    <row r="1321" spans="6:6" x14ac:dyDescent="0.25">
      <c r="F1321" s="8"/>
    </row>
    <row r="1322" spans="6:6" x14ac:dyDescent="0.25">
      <c r="F1322" s="8"/>
    </row>
    <row r="1323" spans="6:6" x14ac:dyDescent="0.25">
      <c r="F1323" s="8"/>
    </row>
    <row r="1324" spans="6:6" x14ac:dyDescent="0.25">
      <c r="F1324" s="8"/>
    </row>
    <row r="1325" spans="6:6" x14ac:dyDescent="0.25">
      <c r="F1325" s="8"/>
    </row>
    <row r="1326" spans="6:6" x14ac:dyDescent="0.25">
      <c r="F1326" s="8"/>
    </row>
    <row r="1327" spans="6:6" x14ac:dyDescent="0.25">
      <c r="F1327" s="8"/>
    </row>
    <row r="1328" spans="6:6" x14ac:dyDescent="0.25">
      <c r="F1328" s="8"/>
    </row>
    <row r="1329" spans="6:6" x14ac:dyDescent="0.25">
      <c r="F1329" s="8"/>
    </row>
    <row r="1330" spans="6:6" x14ac:dyDescent="0.25">
      <c r="F1330" s="8"/>
    </row>
    <row r="1331" spans="6:6" x14ac:dyDescent="0.25">
      <c r="F1331" s="8"/>
    </row>
    <row r="1332" spans="6:6" x14ac:dyDescent="0.25">
      <c r="F1332" s="8"/>
    </row>
    <row r="1333" spans="6:6" x14ac:dyDescent="0.25">
      <c r="F1333" s="8"/>
    </row>
    <row r="1334" spans="6:6" x14ac:dyDescent="0.25">
      <c r="F1334" s="8"/>
    </row>
    <row r="1335" spans="6:6" x14ac:dyDescent="0.25">
      <c r="F1335" s="8"/>
    </row>
    <row r="1336" spans="6:6" x14ac:dyDescent="0.25">
      <c r="F1336" s="8"/>
    </row>
    <row r="1337" spans="6:6" x14ac:dyDescent="0.25">
      <c r="F1337" s="8"/>
    </row>
    <row r="1338" spans="6:6" x14ac:dyDescent="0.25">
      <c r="F1338" s="8"/>
    </row>
    <row r="1339" spans="6:6" x14ac:dyDescent="0.25">
      <c r="F1339" s="8"/>
    </row>
    <row r="1340" spans="6:6" x14ac:dyDescent="0.25">
      <c r="F1340" s="8"/>
    </row>
    <row r="1341" spans="6:6" x14ac:dyDescent="0.25">
      <c r="F1341" s="8"/>
    </row>
    <row r="1342" spans="6:6" x14ac:dyDescent="0.25">
      <c r="F1342" s="8"/>
    </row>
    <row r="1343" spans="6:6" x14ac:dyDescent="0.25">
      <c r="F1343" s="8"/>
    </row>
    <row r="1344" spans="6:6" x14ac:dyDescent="0.25">
      <c r="F1344" s="8"/>
    </row>
    <row r="1345" spans="6:6" x14ac:dyDescent="0.25">
      <c r="F1345" s="8"/>
    </row>
    <row r="1346" spans="6:6" x14ac:dyDescent="0.25">
      <c r="F1346" s="8"/>
    </row>
    <row r="1347" spans="6:6" x14ac:dyDescent="0.25">
      <c r="F1347" s="8"/>
    </row>
    <row r="1348" spans="6:6" x14ac:dyDescent="0.25">
      <c r="F1348" s="8"/>
    </row>
    <row r="1349" spans="6:6" x14ac:dyDescent="0.25">
      <c r="F1349" s="8"/>
    </row>
    <row r="1350" spans="6:6" x14ac:dyDescent="0.25">
      <c r="F1350" s="8"/>
    </row>
    <row r="1351" spans="6:6" x14ac:dyDescent="0.25">
      <c r="F1351" s="8"/>
    </row>
    <row r="1352" spans="6:6" x14ac:dyDescent="0.25">
      <c r="F1352" s="8"/>
    </row>
    <row r="1353" spans="6:6" x14ac:dyDescent="0.25">
      <c r="F1353" s="8"/>
    </row>
    <row r="1354" spans="6:6" x14ac:dyDescent="0.25">
      <c r="F1354" s="8"/>
    </row>
    <row r="1355" spans="6:6" x14ac:dyDescent="0.25">
      <c r="F1355" s="8"/>
    </row>
    <row r="1356" spans="6:6" x14ac:dyDescent="0.25">
      <c r="F1356" s="8"/>
    </row>
    <row r="1357" spans="6:6" x14ac:dyDescent="0.25">
      <c r="F1357" s="8"/>
    </row>
    <row r="1358" spans="6:6" x14ac:dyDescent="0.25">
      <c r="F1358" s="8"/>
    </row>
    <row r="1359" spans="6:6" x14ac:dyDescent="0.25">
      <c r="F1359" s="8"/>
    </row>
    <row r="1360" spans="6:6" x14ac:dyDescent="0.25">
      <c r="F1360" s="8"/>
    </row>
    <row r="1361" spans="6:6" x14ac:dyDescent="0.25">
      <c r="F1361" s="8"/>
    </row>
    <row r="1362" spans="6:6" x14ac:dyDescent="0.25">
      <c r="F1362" s="8"/>
    </row>
    <row r="1363" spans="6:6" x14ac:dyDescent="0.25">
      <c r="F1363" s="8"/>
    </row>
    <row r="1364" spans="6:6" x14ac:dyDescent="0.25">
      <c r="F1364" s="8"/>
    </row>
    <row r="1365" spans="6:6" x14ac:dyDescent="0.25">
      <c r="F1365" s="8"/>
    </row>
    <row r="1366" spans="6:6" x14ac:dyDescent="0.25">
      <c r="F1366" s="8"/>
    </row>
    <row r="1367" spans="6:6" x14ac:dyDescent="0.25">
      <c r="F1367" s="8"/>
    </row>
    <row r="1368" spans="6:6" x14ac:dyDescent="0.25">
      <c r="F1368" s="8"/>
    </row>
    <row r="1369" spans="6:6" x14ac:dyDescent="0.25">
      <c r="F1369" s="8"/>
    </row>
    <row r="1370" spans="6:6" x14ac:dyDescent="0.25">
      <c r="F1370" s="8"/>
    </row>
    <row r="1371" spans="6:6" x14ac:dyDescent="0.25">
      <c r="F1371" s="8"/>
    </row>
    <row r="1372" spans="6:6" x14ac:dyDescent="0.25">
      <c r="F1372" s="8"/>
    </row>
    <row r="1373" spans="6:6" x14ac:dyDescent="0.25">
      <c r="F1373" s="8"/>
    </row>
    <row r="1374" spans="6:6" x14ac:dyDescent="0.25">
      <c r="F1374" s="8"/>
    </row>
    <row r="1375" spans="6:6" x14ac:dyDescent="0.25">
      <c r="F1375" s="8"/>
    </row>
    <row r="1376" spans="6:6" x14ac:dyDescent="0.25">
      <c r="F1376" s="8"/>
    </row>
    <row r="1377" spans="6:6" x14ac:dyDescent="0.25">
      <c r="F1377" s="8"/>
    </row>
    <row r="1378" spans="6:6" x14ac:dyDescent="0.25">
      <c r="F1378" s="8"/>
    </row>
    <row r="1379" spans="6:6" x14ac:dyDescent="0.25">
      <c r="F1379" s="8"/>
    </row>
    <row r="1380" spans="6:6" x14ac:dyDescent="0.25">
      <c r="F1380" s="8"/>
    </row>
    <row r="1381" spans="6:6" x14ac:dyDescent="0.25">
      <c r="F1381" s="8"/>
    </row>
    <row r="1382" spans="6:6" x14ac:dyDescent="0.25">
      <c r="F1382" s="8"/>
    </row>
    <row r="1383" spans="6:6" x14ac:dyDescent="0.25">
      <c r="F1383" s="8"/>
    </row>
    <row r="1384" spans="6:6" x14ac:dyDescent="0.25">
      <c r="F1384" s="8"/>
    </row>
    <row r="1385" spans="6:6" x14ac:dyDescent="0.25">
      <c r="F1385" s="8"/>
    </row>
    <row r="1386" spans="6:6" x14ac:dyDescent="0.25">
      <c r="F1386" s="8"/>
    </row>
    <row r="1387" spans="6:6" x14ac:dyDescent="0.25">
      <c r="F1387" s="8"/>
    </row>
    <row r="1388" spans="6:6" x14ac:dyDescent="0.25">
      <c r="F1388" s="8"/>
    </row>
    <row r="1389" spans="6:6" x14ac:dyDescent="0.25">
      <c r="F1389" s="8"/>
    </row>
    <row r="1390" spans="6:6" x14ac:dyDescent="0.25">
      <c r="F1390" s="8"/>
    </row>
    <row r="1391" spans="6:6" x14ac:dyDescent="0.25">
      <c r="F1391" s="8"/>
    </row>
    <row r="1392" spans="6:6" x14ac:dyDescent="0.25">
      <c r="F1392" s="8"/>
    </row>
    <row r="1393" spans="6:6" x14ac:dyDescent="0.25">
      <c r="F1393" s="8"/>
    </row>
    <row r="1394" spans="6:6" x14ac:dyDescent="0.25">
      <c r="F1394" s="8"/>
    </row>
    <row r="1395" spans="6:6" x14ac:dyDescent="0.25">
      <c r="F1395" s="8"/>
    </row>
    <row r="1396" spans="6:6" x14ac:dyDescent="0.25">
      <c r="F1396" s="8"/>
    </row>
    <row r="1397" spans="6:6" x14ac:dyDescent="0.25">
      <c r="F1397" s="8"/>
    </row>
    <row r="1398" spans="6:6" x14ac:dyDescent="0.25">
      <c r="F1398" s="8"/>
    </row>
    <row r="1399" spans="6:6" x14ac:dyDescent="0.25">
      <c r="F1399" s="8"/>
    </row>
    <row r="1400" spans="6:6" x14ac:dyDescent="0.25">
      <c r="F1400" s="8"/>
    </row>
    <row r="1401" spans="6:6" x14ac:dyDescent="0.25">
      <c r="F1401" s="8"/>
    </row>
    <row r="1402" spans="6:6" x14ac:dyDescent="0.25">
      <c r="F1402" s="8"/>
    </row>
    <row r="1403" spans="6:6" x14ac:dyDescent="0.25">
      <c r="F1403" s="8"/>
    </row>
    <row r="1404" spans="6:6" x14ac:dyDescent="0.25">
      <c r="F1404" s="8"/>
    </row>
    <row r="1405" spans="6:6" x14ac:dyDescent="0.25">
      <c r="F1405" s="8"/>
    </row>
    <row r="1406" spans="6:6" x14ac:dyDescent="0.25">
      <c r="F1406" s="8"/>
    </row>
    <row r="1407" spans="6:6" x14ac:dyDescent="0.25">
      <c r="F1407" s="8"/>
    </row>
    <row r="1408" spans="6:6" x14ac:dyDescent="0.25">
      <c r="F1408" s="8"/>
    </row>
    <row r="1409" spans="6:6" x14ac:dyDescent="0.25">
      <c r="F1409" s="8"/>
    </row>
    <row r="1410" spans="6:6" x14ac:dyDescent="0.25">
      <c r="F1410" s="8"/>
    </row>
    <row r="1411" spans="6:6" x14ac:dyDescent="0.25">
      <c r="F1411" s="8"/>
    </row>
    <row r="1412" spans="6:6" x14ac:dyDescent="0.25">
      <c r="F1412" s="8"/>
    </row>
    <row r="1413" spans="6:6" x14ac:dyDescent="0.25">
      <c r="F1413" s="8"/>
    </row>
    <row r="1414" spans="6:6" x14ac:dyDescent="0.25">
      <c r="F1414" s="8"/>
    </row>
    <row r="1415" spans="6:6" x14ac:dyDescent="0.25">
      <c r="F1415" s="8"/>
    </row>
    <row r="1416" spans="6:6" x14ac:dyDescent="0.25">
      <c r="F1416" s="8"/>
    </row>
    <row r="1417" spans="6:6" x14ac:dyDescent="0.25">
      <c r="F1417" s="8"/>
    </row>
    <row r="1418" spans="6:6" x14ac:dyDescent="0.25">
      <c r="F1418" s="8"/>
    </row>
    <row r="1419" spans="6:6" x14ac:dyDescent="0.25">
      <c r="F1419" s="8"/>
    </row>
    <row r="1420" spans="6:6" x14ac:dyDescent="0.25">
      <c r="F1420" s="8"/>
    </row>
    <row r="1421" spans="6:6" x14ac:dyDescent="0.25">
      <c r="F1421" s="8"/>
    </row>
    <row r="1422" spans="6:6" x14ac:dyDescent="0.25">
      <c r="F1422" s="8"/>
    </row>
    <row r="1423" spans="6:6" x14ac:dyDescent="0.25">
      <c r="F1423" s="8"/>
    </row>
    <row r="1424" spans="6:6" x14ac:dyDescent="0.25">
      <c r="F1424" s="8"/>
    </row>
    <row r="1425" spans="6:6" x14ac:dyDescent="0.25">
      <c r="F1425" s="8"/>
    </row>
    <row r="1426" spans="6:6" x14ac:dyDescent="0.25">
      <c r="F1426" s="8"/>
    </row>
    <row r="1427" spans="6:6" x14ac:dyDescent="0.25">
      <c r="F1427" s="8"/>
    </row>
    <row r="1428" spans="6:6" x14ac:dyDescent="0.25">
      <c r="F1428" s="8"/>
    </row>
    <row r="1429" spans="6:6" x14ac:dyDescent="0.25">
      <c r="F1429" s="8"/>
    </row>
    <row r="1430" spans="6:6" x14ac:dyDescent="0.25">
      <c r="F1430" s="8"/>
    </row>
    <row r="1431" spans="6:6" x14ac:dyDescent="0.25">
      <c r="F1431" s="8"/>
    </row>
    <row r="1432" spans="6:6" x14ac:dyDescent="0.25">
      <c r="F1432" s="8"/>
    </row>
    <row r="1433" spans="6:6" x14ac:dyDescent="0.25">
      <c r="F1433" s="8"/>
    </row>
    <row r="1434" spans="6:6" x14ac:dyDescent="0.25">
      <c r="F1434" s="8"/>
    </row>
    <row r="1435" spans="6:6" x14ac:dyDescent="0.25">
      <c r="F1435" s="8"/>
    </row>
    <row r="1436" spans="6:6" x14ac:dyDescent="0.25">
      <c r="F1436" s="8"/>
    </row>
    <row r="1437" spans="6:6" x14ac:dyDescent="0.25">
      <c r="F1437" s="8"/>
    </row>
    <row r="1438" spans="6:6" x14ac:dyDescent="0.25">
      <c r="F1438" s="8"/>
    </row>
    <row r="1439" spans="6:6" x14ac:dyDescent="0.25">
      <c r="F1439" s="8"/>
    </row>
    <row r="1440" spans="6:6" x14ac:dyDescent="0.25">
      <c r="F1440" s="8"/>
    </row>
    <row r="1441" spans="6:6" x14ac:dyDescent="0.25">
      <c r="F1441" s="8"/>
    </row>
    <row r="1442" spans="6:6" x14ac:dyDescent="0.25">
      <c r="F1442" s="8"/>
    </row>
    <row r="1443" spans="6:6" x14ac:dyDescent="0.25">
      <c r="F1443" s="8"/>
    </row>
    <row r="1444" spans="6:6" x14ac:dyDescent="0.25">
      <c r="F1444" s="8"/>
    </row>
    <row r="1445" spans="6:6" x14ac:dyDescent="0.25">
      <c r="F1445" s="8"/>
    </row>
    <row r="1446" spans="6:6" x14ac:dyDescent="0.25">
      <c r="F1446" s="8"/>
    </row>
    <row r="1447" spans="6:6" x14ac:dyDescent="0.25">
      <c r="F1447" s="8"/>
    </row>
    <row r="1448" spans="6:6" x14ac:dyDescent="0.25">
      <c r="F1448" s="8"/>
    </row>
    <row r="1449" spans="6:6" x14ac:dyDescent="0.25">
      <c r="F1449" s="8"/>
    </row>
    <row r="1450" spans="6:6" x14ac:dyDescent="0.25">
      <c r="F1450" s="8"/>
    </row>
    <row r="1451" spans="6:6" x14ac:dyDescent="0.25">
      <c r="F1451" s="8"/>
    </row>
    <row r="1452" spans="6:6" x14ac:dyDescent="0.25">
      <c r="F1452" s="8"/>
    </row>
    <row r="1453" spans="6:6" x14ac:dyDescent="0.25">
      <c r="F1453" s="8"/>
    </row>
    <row r="1454" spans="6:6" x14ac:dyDescent="0.25">
      <c r="F1454" s="8"/>
    </row>
    <row r="1455" spans="6:6" x14ac:dyDescent="0.25">
      <c r="F1455" s="8"/>
    </row>
    <row r="1456" spans="6:6" x14ac:dyDescent="0.25">
      <c r="F1456" s="8"/>
    </row>
    <row r="1457" spans="6:6" x14ac:dyDescent="0.25">
      <c r="F1457" s="8"/>
    </row>
    <row r="1458" spans="6:6" x14ac:dyDescent="0.25">
      <c r="F1458" s="8"/>
    </row>
    <row r="1459" spans="6:6" x14ac:dyDescent="0.25">
      <c r="F1459" s="8"/>
    </row>
    <row r="1460" spans="6:6" x14ac:dyDescent="0.25">
      <c r="F1460" s="8"/>
    </row>
    <row r="1461" spans="6:6" x14ac:dyDescent="0.25">
      <c r="F1461" s="8"/>
    </row>
    <row r="1462" spans="6:6" x14ac:dyDescent="0.25">
      <c r="F1462" s="8"/>
    </row>
    <row r="1463" spans="6:6" x14ac:dyDescent="0.25">
      <c r="F1463" s="8"/>
    </row>
    <row r="1464" spans="6:6" x14ac:dyDescent="0.25">
      <c r="F1464" s="8"/>
    </row>
    <row r="1465" spans="6:6" x14ac:dyDescent="0.25">
      <c r="F1465" s="8"/>
    </row>
    <row r="1466" spans="6:6" x14ac:dyDescent="0.25">
      <c r="F1466" s="8"/>
    </row>
    <row r="1467" spans="6:6" x14ac:dyDescent="0.25">
      <c r="F1467" s="8"/>
    </row>
    <row r="1468" spans="6:6" x14ac:dyDescent="0.25">
      <c r="F1468" s="8"/>
    </row>
    <row r="1469" spans="6:6" x14ac:dyDescent="0.25">
      <c r="F1469" s="8"/>
    </row>
    <row r="1470" spans="6:6" x14ac:dyDescent="0.25">
      <c r="F1470" s="8"/>
    </row>
    <row r="1471" spans="6:6" x14ac:dyDescent="0.25">
      <c r="F1471" s="8"/>
    </row>
    <row r="1472" spans="6:6" x14ac:dyDescent="0.25">
      <c r="F1472" s="8"/>
    </row>
    <row r="1473" spans="6:6" x14ac:dyDescent="0.25">
      <c r="F1473" s="8"/>
    </row>
    <row r="1474" spans="6:6" x14ac:dyDescent="0.25">
      <c r="F1474" s="8"/>
    </row>
    <row r="1475" spans="6:6" x14ac:dyDescent="0.25">
      <c r="F1475" s="8"/>
    </row>
    <row r="1476" spans="6:6" x14ac:dyDescent="0.25">
      <c r="F1476" s="8"/>
    </row>
    <row r="1477" spans="6:6" x14ac:dyDescent="0.25">
      <c r="F1477" s="8"/>
    </row>
    <row r="1478" spans="6:6" x14ac:dyDescent="0.25">
      <c r="F1478" s="8"/>
    </row>
    <row r="1479" spans="6:6" x14ac:dyDescent="0.25">
      <c r="F1479" s="8"/>
    </row>
    <row r="1480" spans="6:6" x14ac:dyDescent="0.25">
      <c r="F1480" s="8"/>
    </row>
    <row r="1481" spans="6:6" x14ac:dyDescent="0.25">
      <c r="F1481" s="8"/>
    </row>
    <row r="1482" spans="6:6" x14ac:dyDescent="0.25">
      <c r="F1482" s="8"/>
    </row>
    <row r="1483" spans="6:6" x14ac:dyDescent="0.25">
      <c r="F1483" s="8"/>
    </row>
    <row r="1484" spans="6:6" x14ac:dyDescent="0.25">
      <c r="F1484" s="8"/>
    </row>
    <row r="1485" spans="6:6" x14ac:dyDescent="0.25">
      <c r="F1485" s="8"/>
    </row>
    <row r="1486" spans="6:6" x14ac:dyDescent="0.25">
      <c r="F1486" s="8"/>
    </row>
    <row r="1487" spans="6:6" x14ac:dyDescent="0.25">
      <c r="F1487" s="8"/>
    </row>
    <row r="1488" spans="6:6" x14ac:dyDescent="0.25">
      <c r="F1488" s="8"/>
    </row>
    <row r="1489" spans="6:6" x14ac:dyDescent="0.25">
      <c r="F1489" s="8"/>
    </row>
    <row r="1490" spans="6:6" x14ac:dyDescent="0.25">
      <c r="F1490" s="8"/>
    </row>
    <row r="1491" spans="6:6" x14ac:dyDescent="0.25">
      <c r="F1491" s="8"/>
    </row>
    <row r="1492" spans="6:6" x14ac:dyDescent="0.25">
      <c r="F1492" s="8"/>
    </row>
    <row r="1493" spans="6:6" x14ac:dyDescent="0.25">
      <c r="F1493" s="8"/>
    </row>
    <row r="1494" spans="6:6" x14ac:dyDescent="0.25">
      <c r="F1494" s="8"/>
    </row>
    <row r="1495" spans="6:6" x14ac:dyDescent="0.25">
      <c r="F1495" s="8"/>
    </row>
    <row r="1496" spans="6:6" x14ac:dyDescent="0.25">
      <c r="F1496" s="8"/>
    </row>
    <row r="1497" spans="6:6" x14ac:dyDescent="0.25">
      <c r="F1497" s="8"/>
    </row>
    <row r="1498" spans="6:6" x14ac:dyDescent="0.25">
      <c r="F1498" s="8"/>
    </row>
    <row r="1499" spans="6:6" x14ac:dyDescent="0.25">
      <c r="F1499" s="8"/>
    </row>
    <row r="1500" spans="6:6" x14ac:dyDescent="0.25">
      <c r="F1500" s="8"/>
    </row>
    <row r="1501" spans="6:6" x14ac:dyDescent="0.25">
      <c r="F1501" s="8"/>
    </row>
    <row r="1502" spans="6:6" x14ac:dyDescent="0.25">
      <c r="F1502" s="8"/>
    </row>
    <row r="1503" spans="6:6" x14ac:dyDescent="0.25">
      <c r="F1503" s="8"/>
    </row>
    <row r="1504" spans="6:6" x14ac:dyDescent="0.25">
      <c r="F1504" s="8"/>
    </row>
    <row r="1505" spans="6:6" x14ac:dyDescent="0.25">
      <c r="F1505" s="8"/>
    </row>
    <row r="1506" spans="6:6" x14ac:dyDescent="0.25">
      <c r="F1506" s="8"/>
    </row>
    <row r="1507" spans="6:6" x14ac:dyDescent="0.25">
      <c r="F1507" s="8"/>
    </row>
    <row r="1508" spans="6:6" x14ac:dyDescent="0.25">
      <c r="F1508" s="8"/>
    </row>
    <row r="1509" spans="6:6" x14ac:dyDescent="0.25">
      <c r="F1509" s="8"/>
    </row>
    <row r="1510" spans="6:6" x14ac:dyDescent="0.25">
      <c r="F1510" s="8"/>
    </row>
    <row r="1511" spans="6:6" x14ac:dyDescent="0.25">
      <c r="F1511" s="8"/>
    </row>
    <row r="1512" spans="6:6" x14ac:dyDescent="0.25">
      <c r="F1512" s="8"/>
    </row>
    <row r="1513" spans="6:6" x14ac:dyDescent="0.25">
      <c r="F1513" s="8"/>
    </row>
    <row r="1514" spans="6:6" x14ac:dyDescent="0.25">
      <c r="F1514" s="8"/>
    </row>
    <row r="1515" spans="6:6" x14ac:dyDescent="0.25">
      <c r="F1515" s="8"/>
    </row>
    <row r="1516" spans="6:6" x14ac:dyDescent="0.25">
      <c r="F1516" s="8"/>
    </row>
    <row r="1517" spans="6:6" x14ac:dyDescent="0.25">
      <c r="F1517" s="8"/>
    </row>
    <row r="1518" spans="6:6" x14ac:dyDescent="0.25">
      <c r="F1518" s="8"/>
    </row>
    <row r="1519" spans="6:6" x14ac:dyDescent="0.25">
      <c r="F1519" s="8"/>
    </row>
    <row r="1520" spans="6:6" x14ac:dyDescent="0.25">
      <c r="F1520" s="8"/>
    </row>
    <row r="1521" spans="6:6" x14ac:dyDescent="0.25">
      <c r="F1521" s="8"/>
    </row>
    <row r="1522" spans="6:6" x14ac:dyDescent="0.25">
      <c r="F1522" s="8"/>
    </row>
    <row r="1523" spans="6:6" x14ac:dyDescent="0.25">
      <c r="F1523" s="8"/>
    </row>
    <row r="1524" spans="6:6" x14ac:dyDescent="0.25">
      <c r="F1524" s="8"/>
    </row>
    <row r="1525" spans="6:6" x14ac:dyDescent="0.25">
      <c r="F1525" s="8"/>
    </row>
    <row r="1526" spans="6:6" x14ac:dyDescent="0.25">
      <c r="F1526" s="8"/>
    </row>
    <row r="1527" spans="6:6" x14ac:dyDescent="0.25">
      <c r="F1527" s="8"/>
    </row>
    <row r="1528" spans="6:6" x14ac:dyDescent="0.25">
      <c r="F1528" s="8"/>
    </row>
    <row r="1529" spans="6:6" x14ac:dyDescent="0.25">
      <c r="F1529" s="8"/>
    </row>
    <row r="1530" spans="6:6" x14ac:dyDescent="0.25">
      <c r="F1530" s="8"/>
    </row>
    <row r="1531" spans="6:6" x14ac:dyDescent="0.25">
      <c r="F1531" s="8"/>
    </row>
    <row r="1532" spans="6:6" x14ac:dyDescent="0.25">
      <c r="F1532" s="8"/>
    </row>
    <row r="1533" spans="6:6" x14ac:dyDescent="0.25">
      <c r="F1533" s="8"/>
    </row>
    <row r="1534" spans="6:6" x14ac:dyDescent="0.25">
      <c r="F1534" s="8"/>
    </row>
    <row r="1535" spans="6:6" x14ac:dyDescent="0.25">
      <c r="F1535" s="8"/>
    </row>
    <row r="1536" spans="6:6" x14ac:dyDescent="0.25">
      <c r="F1536" s="8"/>
    </row>
    <row r="1537" spans="6:6" x14ac:dyDescent="0.25">
      <c r="F1537" s="8"/>
    </row>
    <row r="1538" spans="6:6" x14ac:dyDescent="0.25">
      <c r="F1538" s="8"/>
    </row>
    <row r="1539" spans="6:6" x14ac:dyDescent="0.25">
      <c r="F1539" s="8"/>
    </row>
    <row r="1540" spans="6:6" x14ac:dyDescent="0.25">
      <c r="F1540" s="8"/>
    </row>
    <row r="1541" spans="6:6" x14ac:dyDescent="0.25">
      <c r="F1541" s="8"/>
    </row>
    <row r="1542" spans="6:6" x14ac:dyDescent="0.25">
      <c r="F1542" s="8"/>
    </row>
    <row r="1543" spans="6:6" x14ac:dyDescent="0.25">
      <c r="F1543" s="8"/>
    </row>
    <row r="1544" spans="6:6" x14ac:dyDescent="0.25">
      <c r="F1544" s="8"/>
    </row>
    <row r="1545" spans="6:6" x14ac:dyDescent="0.25">
      <c r="F1545" s="8"/>
    </row>
    <row r="1546" spans="6:6" x14ac:dyDescent="0.25">
      <c r="F1546" s="8"/>
    </row>
    <row r="1547" spans="6:6" x14ac:dyDescent="0.25">
      <c r="F1547" s="8"/>
    </row>
    <row r="1548" spans="6:6" x14ac:dyDescent="0.25">
      <c r="F1548" s="8"/>
    </row>
    <row r="1549" spans="6:6" x14ac:dyDescent="0.25">
      <c r="F1549" s="8"/>
    </row>
    <row r="1550" spans="6:6" x14ac:dyDescent="0.25">
      <c r="F1550" s="8"/>
    </row>
    <row r="1551" spans="6:6" x14ac:dyDescent="0.25">
      <c r="F1551" s="8"/>
    </row>
    <row r="1552" spans="6:6" x14ac:dyDescent="0.25">
      <c r="F1552" s="8"/>
    </row>
    <row r="1553" spans="6:6" x14ac:dyDescent="0.25">
      <c r="F1553" s="8"/>
    </row>
    <row r="1554" spans="6:6" x14ac:dyDescent="0.25">
      <c r="F1554" s="8"/>
    </row>
    <row r="1555" spans="6:6" x14ac:dyDescent="0.25">
      <c r="F1555" s="8"/>
    </row>
    <row r="1556" spans="6:6" x14ac:dyDescent="0.25">
      <c r="F1556" s="8"/>
    </row>
    <row r="1557" spans="6:6" x14ac:dyDescent="0.25">
      <c r="F1557" s="8"/>
    </row>
    <row r="1558" spans="6:6" x14ac:dyDescent="0.25">
      <c r="F1558" s="8"/>
    </row>
    <row r="1559" spans="6:6" x14ac:dyDescent="0.25">
      <c r="F1559" s="8"/>
    </row>
    <row r="1560" spans="6:6" x14ac:dyDescent="0.25">
      <c r="F1560" s="8"/>
    </row>
    <row r="1561" spans="6:6" x14ac:dyDescent="0.25">
      <c r="F1561" s="8"/>
    </row>
    <row r="1562" spans="6:6" x14ac:dyDescent="0.25">
      <c r="F1562" s="8"/>
    </row>
    <row r="1563" spans="6:6" x14ac:dyDescent="0.25">
      <c r="F1563" s="8"/>
    </row>
    <row r="1564" spans="6:6" x14ac:dyDescent="0.25">
      <c r="F1564" s="8"/>
    </row>
    <row r="1565" spans="6:6" x14ac:dyDescent="0.25">
      <c r="F1565" s="8"/>
    </row>
    <row r="1566" spans="6:6" x14ac:dyDescent="0.25">
      <c r="F1566" s="8"/>
    </row>
    <row r="1567" spans="6:6" x14ac:dyDescent="0.25">
      <c r="F1567" s="8"/>
    </row>
    <row r="1568" spans="6:6" x14ac:dyDescent="0.25">
      <c r="F1568" s="8"/>
    </row>
    <row r="1569" spans="6:6" x14ac:dyDescent="0.25">
      <c r="F1569" s="8"/>
    </row>
    <row r="1570" spans="6:6" x14ac:dyDescent="0.25">
      <c r="F1570" s="8"/>
    </row>
    <row r="1571" spans="6:6" x14ac:dyDescent="0.25">
      <c r="F1571" s="8"/>
    </row>
    <row r="1572" spans="6:6" x14ac:dyDescent="0.25">
      <c r="F1572" s="8"/>
    </row>
    <row r="1573" spans="6:6" x14ac:dyDescent="0.25">
      <c r="F1573" s="8"/>
    </row>
    <row r="1574" spans="6:6" x14ac:dyDescent="0.25">
      <c r="F1574" s="8"/>
    </row>
    <row r="1575" spans="6:6" x14ac:dyDescent="0.25">
      <c r="F1575" s="8"/>
    </row>
    <row r="1576" spans="6:6" x14ac:dyDescent="0.25">
      <c r="F1576" s="8"/>
    </row>
    <row r="1577" spans="6:6" x14ac:dyDescent="0.25">
      <c r="F1577" s="8"/>
    </row>
    <row r="1578" spans="6:6" x14ac:dyDescent="0.25">
      <c r="F1578" s="8"/>
    </row>
    <row r="1579" spans="6:6" x14ac:dyDescent="0.25">
      <c r="F1579" s="8"/>
    </row>
    <row r="1580" spans="6:6" x14ac:dyDescent="0.25">
      <c r="F1580" s="8"/>
    </row>
    <row r="1581" spans="6:6" x14ac:dyDescent="0.25">
      <c r="F1581" s="8"/>
    </row>
    <row r="1582" spans="6:6" x14ac:dyDescent="0.25">
      <c r="F1582" s="8"/>
    </row>
    <row r="1583" spans="6:6" x14ac:dyDescent="0.25">
      <c r="F1583" s="8"/>
    </row>
    <row r="1584" spans="6:6" x14ac:dyDescent="0.25">
      <c r="F1584" s="8"/>
    </row>
    <row r="1585" spans="6:6" x14ac:dyDescent="0.25">
      <c r="F1585" s="8"/>
    </row>
    <row r="1586" spans="6:6" x14ac:dyDescent="0.25">
      <c r="F1586" s="8"/>
    </row>
    <row r="1587" spans="6:6" x14ac:dyDescent="0.25">
      <c r="F1587" s="8"/>
    </row>
    <row r="1588" spans="6:6" x14ac:dyDescent="0.25">
      <c r="F1588" s="8"/>
    </row>
    <row r="1589" spans="6:6" x14ac:dyDescent="0.25">
      <c r="F1589" s="8"/>
    </row>
    <row r="1590" spans="6:6" x14ac:dyDescent="0.25">
      <c r="F1590" s="8"/>
    </row>
    <row r="1591" spans="6:6" x14ac:dyDescent="0.25">
      <c r="F1591" s="8"/>
    </row>
    <row r="1592" spans="6:6" x14ac:dyDescent="0.25">
      <c r="F1592" s="8"/>
    </row>
    <row r="1593" spans="6:6" x14ac:dyDescent="0.25">
      <c r="F1593" s="8"/>
    </row>
    <row r="1594" spans="6:6" x14ac:dyDescent="0.25">
      <c r="F1594" s="8"/>
    </row>
    <row r="1595" spans="6:6" x14ac:dyDescent="0.25">
      <c r="F1595" s="8"/>
    </row>
    <row r="1596" spans="6:6" x14ac:dyDescent="0.25">
      <c r="F1596" s="8"/>
    </row>
    <row r="1597" spans="6:6" x14ac:dyDescent="0.25">
      <c r="F1597" s="8"/>
    </row>
    <row r="1598" spans="6:6" x14ac:dyDescent="0.25">
      <c r="F1598" s="8"/>
    </row>
    <row r="1599" spans="6:6" x14ac:dyDescent="0.25">
      <c r="F1599" s="8"/>
    </row>
    <row r="1600" spans="6:6" x14ac:dyDescent="0.25">
      <c r="F1600" s="8"/>
    </row>
    <row r="1601" spans="6:6" x14ac:dyDescent="0.25">
      <c r="F1601" s="8"/>
    </row>
    <row r="1602" spans="6:6" x14ac:dyDescent="0.25">
      <c r="F1602" s="8"/>
    </row>
    <row r="1603" spans="6:6" x14ac:dyDescent="0.25">
      <c r="F1603" s="8"/>
    </row>
    <row r="1604" spans="6:6" x14ac:dyDescent="0.25">
      <c r="F1604" s="8"/>
    </row>
    <row r="1605" spans="6:6" x14ac:dyDescent="0.25">
      <c r="F1605" s="8"/>
    </row>
    <row r="1606" spans="6:6" x14ac:dyDescent="0.25">
      <c r="F1606" s="8"/>
    </row>
    <row r="1607" spans="6:6" x14ac:dyDescent="0.25">
      <c r="F1607" s="8"/>
    </row>
    <row r="1608" spans="6:6" x14ac:dyDescent="0.25">
      <c r="F1608" s="8"/>
    </row>
    <row r="1609" spans="6:6" x14ac:dyDescent="0.25">
      <c r="F1609" s="8"/>
    </row>
    <row r="1610" spans="6:6" x14ac:dyDescent="0.25">
      <c r="F1610" s="8"/>
    </row>
    <row r="1611" spans="6:6" x14ac:dyDescent="0.25">
      <c r="F1611" s="8"/>
    </row>
    <row r="1612" spans="6:6" x14ac:dyDescent="0.25">
      <c r="F1612" s="8"/>
    </row>
    <row r="1613" spans="6:6" x14ac:dyDescent="0.25">
      <c r="F1613" s="8"/>
    </row>
    <row r="1614" spans="6:6" x14ac:dyDescent="0.25">
      <c r="F1614" s="8"/>
    </row>
    <row r="1615" spans="6:6" x14ac:dyDescent="0.25">
      <c r="F1615" s="8"/>
    </row>
    <row r="1616" spans="6:6" x14ac:dyDescent="0.25">
      <c r="F1616" s="8"/>
    </row>
    <row r="1617" spans="6:6" x14ac:dyDescent="0.25">
      <c r="F1617" s="8"/>
    </row>
    <row r="1618" spans="6:6" x14ac:dyDescent="0.25">
      <c r="F1618" s="8"/>
    </row>
    <row r="1619" spans="6:6" x14ac:dyDescent="0.25">
      <c r="F1619" s="8"/>
    </row>
    <row r="1620" spans="6:6" x14ac:dyDescent="0.25">
      <c r="F1620" s="8"/>
    </row>
    <row r="1621" spans="6:6" x14ac:dyDescent="0.25">
      <c r="F1621" s="8"/>
    </row>
    <row r="1622" spans="6:6" x14ac:dyDescent="0.25">
      <c r="F1622" s="8"/>
    </row>
    <row r="1623" spans="6:6" x14ac:dyDescent="0.25">
      <c r="F1623" s="8"/>
    </row>
    <row r="1624" spans="6:6" x14ac:dyDescent="0.25">
      <c r="F1624" s="8"/>
    </row>
    <row r="1625" spans="6:6" x14ac:dyDescent="0.25">
      <c r="F1625" s="8"/>
    </row>
    <row r="1626" spans="6:6" x14ac:dyDescent="0.25">
      <c r="F1626" s="8"/>
    </row>
    <row r="1627" spans="6:6" x14ac:dyDescent="0.25">
      <c r="F1627" s="8"/>
    </row>
    <row r="1628" spans="6:6" x14ac:dyDescent="0.25">
      <c r="F1628" s="8"/>
    </row>
    <row r="1629" spans="6:6" x14ac:dyDescent="0.25">
      <c r="F1629" s="8"/>
    </row>
    <row r="1630" spans="6:6" x14ac:dyDescent="0.25">
      <c r="F1630" s="8"/>
    </row>
    <row r="1631" spans="6:6" x14ac:dyDescent="0.25">
      <c r="F1631" s="8"/>
    </row>
    <row r="1632" spans="6:6" x14ac:dyDescent="0.25">
      <c r="F1632" s="8"/>
    </row>
    <row r="1633" spans="6:6" x14ac:dyDescent="0.25">
      <c r="F1633" s="8"/>
    </row>
    <row r="1634" spans="6:6" x14ac:dyDescent="0.25">
      <c r="F1634" s="8"/>
    </row>
    <row r="1635" spans="6:6" x14ac:dyDescent="0.25">
      <c r="F1635" s="8"/>
    </row>
    <row r="1636" spans="6:6" x14ac:dyDescent="0.25">
      <c r="F1636" s="8"/>
    </row>
    <row r="1637" spans="6:6" x14ac:dyDescent="0.25">
      <c r="F1637" s="8"/>
    </row>
    <row r="1638" spans="6:6" x14ac:dyDescent="0.25">
      <c r="F1638" s="8"/>
    </row>
    <row r="1639" spans="6:6" x14ac:dyDescent="0.25">
      <c r="F1639" s="8"/>
    </row>
    <row r="1640" spans="6:6" x14ac:dyDescent="0.25">
      <c r="F1640" s="8"/>
    </row>
    <row r="1641" spans="6:6" x14ac:dyDescent="0.25">
      <c r="F1641" s="8"/>
    </row>
    <row r="1642" spans="6:6" x14ac:dyDescent="0.25">
      <c r="F1642" s="8"/>
    </row>
    <row r="1643" spans="6:6" x14ac:dyDescent="0.25">
      <c r="F1643" s="8"/>
    </row>
    <row r="1644" spans="6:6" x14ac:dyDescent="0.25">
      <c r="F1644" s="8"/>
    </row>
    <row r="1645" spans="6:6" x14ac:dyDescent="0.25">
      <c r="F1645" s="8"/>
    </row>
    <row r="1646" spans="6:6" x14ac:dyDescent="0.25">
      <c r="F1646" s="8"/>
    </row>
    <row r="1647" spans="6:6" x14ac:dyDescent="0.25">
      <c r="F1647" s="8"/>
    </row>
    <row r="1648" spans="6:6" x14ac:dyDescent="0.25">
      <c r="F1648" s="8"/>
    </row>
    <row r="1649" spans="6:6" x14ac:dyDescent="0.25">
      <c r="F1649" s="8"/>
    </row>
    <row r="1650" spans="6:6" x14ac:dyDescent="0.25">
      <c r="F1650" s="8"/>
    </row>
    <row r="1651" spans="6:6" x14ac:dyDescent="0.25">
      <c r="F1651" s="8"/>
    </row>
    <row r="1652" spans="6:6" x14ac:dyDescent="0.25">
      <c r="F1652" s="8"/>
    </row>
    <row r="1653" spans="6:6" x14ac:dyDescent="0.25">
      <c r="F1653" s="8"/>
    </row>
    <row r="1654" spans="6:6" x14ac:dyDescent="0.25">
      <c r="F1654" s="8"/>
    </row>
    <row r="1655" spans="6:6" x14ac:dyDescent="0.25">
      <c r="F1655" s="8"/>
    </row>
    <row r="1656" spans="6:6" x14ac:dyDescent="0.25">
      <c r="F1656" s="8"/>
    </row>
    <row r="1657" spans="6:6" x14ac:dyDescent="0.25">
      <c r="F1657" s="8"/>
    </row>
    <row r="1658" spans="6:6" x14ac:dyDescent="0.25">
      <c r="F1658" s="8"/>
    </row>
    <row r="1659" spans="6:6" x14ac:dyDescent="0.25">
      <c r="F1659" s="8"/>
    </row>
    <row r="1660" spans="6:6" x14ac:dyDescent="0.25">
      <c r="F1660" s="8"/>
    </row>
    <row r="1661" spans="6:6" x14ac:dyDescent="0.25">
      <c r="F1661" s="8"/>
    </row>
    <row r="1662" spans="6:6" x14ac:dyDescent="0.25">
      <c r="F1662" s="8"/>
    </row>
    <row r="1663" spans="6:6" x14ac:dyDescent="0.25">
      <c r="F1663" s="8"/>
    </row>
    <row r="1664" spans="6:6" x14ac:dyDescent="0.25">
      <c r="F1664" s="8"/>
    </row>
    <row r="1665" spans="6:6" x14ac:dyDescent="0.25">
      <c r="F1665" s="8"/>
    </row>
    <row r="1666" spans="6:6" x14ac:dyDescent="0.25">
      <c r="F1666" s="8"/>
    </row>
    <row r="1667" spans="6:6" x14ac:dyDescent="0.25">
      <c r="F1667" s="8"/>
    </row>
    <row r="1668" spans="6:6" x14ac:dyDescent="0.25">
      <c r="F1668" s="8"/>
    </row>
    <row r="1669" spans="6:6" x14ac:dyDescent="0.25">
      <c r="F1669" s="8"/>
    </row>
    <row r="1670" spans="6:6" x14ac:dyDescent="0.25">
      <c r="F1670" s="8"/>
    </row>
    <row r="1671" spans="6:6" x14ac:dyDescent="0.25">
      <c r="F1671" s="8"/>
    </row>
    <row r="1672" spans="6:6" x14ac:dyDescent="0.25">
      <c r="F1672" s="8"/>
    </row>
    <row r="1673" spans="6:6" x14ac:dyDescent="0.25">
      <c r="F1673" s="8"/>
    </row>
    <row r="1674" spans="6:6" x14ac:dyDescent="0.25">
      <c r="F1674" s="8"/>
    </row>
    <row r="1675" spans="6:6" x14ac:dyDescent="0.25">
      <c r="F1675" s="8"/>
    </row>
    <row r="1676" spans="6:6" x14ac:dyDescent="0.25">
      <c r="F1676" s="8"/>
    </row>
    <row r="1677" spans="6:6" x14ac:dyDescent="0.25">
      <c r="F1677" s="8"/>
    </row>
    <row r="1678" spans="6:6" x14ac:dyDescent="0.25">
      <c r="F1678" s="8"/>
    </row>
    <row r="1679" spans="6:6" x14ac:dyDescent="0.25">
      <c r="F1679" s="8"/>
    </row>
    <row r="1680" spans="6:6" x14ac:dyDescent="0.25">
      <c r="F1680" s="8"/>
    </row>
    <row r="1681" spans="6:6" x14ac:dyDescent="0.25">
      <c r="F1681" s="8"/>
    </row>
    <row r="1682" spans="6:6" x14ac:dyDescent="0.25">
      <c r="F1682" s="8"/>
    </row>
    <row r="1683" spans="6:6" x14ac:dyDescent="0.25">
      <c r="F1683" s="8"/>
    </row>
    <row r="1684" spans="6:6" x14ac:dyDescent="0.25">
      <c r="F1684" s="8"/>
    </row>
    <row r="1685" spans="6:6" x14ac:dyDescent="0.25">
      <c r="F1685" s="8"/>
    </row>
    <row r="1686" spans="6:6" x14ac:dyDescent="0.25">
      <c r="F1686" s="8"/>
    </row>
    <row r="1687" spans="6:6" x14ac:dyDescent="0.25">
      <c r="F1687" s="8"/>
    </row>
    <row r="1688" spans="6:6" x14ac:dyDescent="0.25">
      <c r="F1688" s="8"/>
    </row>
    <row r="1689" spans="6:6" x14ac:dyDescent="0.25">
      <c r="F1689" s="8"/>
    </row>
    <row r="1690" spans="6:6" x14ac:dyDescent="0.25">
      <c r="F1690" s="8"/>
    </row>
    <row r="1691" spans="6:6" x14ac:dyDescent="0.25">
      <c r="F1691" s="8"/>
    </row>
    <row r="1692" spans="6:6" x14ac:dyDescent="0.25">
      <c r="F1692" s="8"/>
    </row>
    <row r="1693" spans="6:6" x14ac:dyDescent="0.25">
      <c r="F1693" s="8"/>
    </row>
    <row r="1694" spans="6:6" x14ac:dyDescent="0.25">
      <c r="F1694" s="8"/>
    </row>
    <row r="1695" spans="6:6" x14ac:dyDescent="0.25">
      <c r="F1695" s="8"/>
    </row>
    <row r="1696" spans="6:6" x14ac:dyDescent="0.25">
      <c r="F1696" s="8"/>
    </row>
    <row r="1697" spans="6:6" x14ac:dyDescent="0.25">
      <c r="F1697" s="8"/>
    </row>
    <row r="1698" spans="6:6" x14ac:dyDescent="0.25">
      <c r="F1698" s="8"/>
    </row>
    <row r="1699" spans="6:6" x14ac:dyDescent="0.25">
      <c r="F1699" s="8"/>
    </row>
    <row r="1700" spans="6:6" x14ac:dyDescent="0.25">
      <c r="F1700" s="8"/>
    </row>
    <row r="1701" spans="6:6" x14ac:dyDescent="0.25">
      <c r="F1701" s="8"/>
    </row>
    <row r="1702" spans="6:6" x14ac:dyDescent="0.25">
      <c r="F1702" s="8"/>
    </row>
    <row r="1703" spans="6:6" x14ac:dyDescent="0.25">
      <c r="F1703" s="8"/>
    </row>
    <row r="1704" spans="6:6" x14ac:dyDescent="0.25">
      <c r="F1704" s="8"/>
    </row>
    <row r="1705" spans="6:6" x14ac:dyDescent="0.25">
      <c r="F1705" s="8"/>
    </row>
    <row r="1706" spans="6:6" x14ac:dyDescent="0.25">
      <c r="F1706" s="8"/>
    </row>
    <row r="1707" spans="6:6" x14ac:dyDescent="0.25">
      <c r="F1707" s="8"/>
    </row>
    <row r="1708" spans="6:6" x14ac:dyDescent="0.25">
      <c r="F1708" s="8"/>
    </row>
    <row r="1709" spans="6:6" x14ac:dyDescent="0.25">
      <c r="F1709" s="8"/>
    </row>
    <row r="1710" spans="6:6" x14ac:dyDescent="0.25">
      <c r="F1710" s="8"/>
    </row>
    <row r="1711" spans="6:6" x14ac:dyDescent="0.25">
      <c r="F1711" s="8"/>
    </row>
    <row r="1712" spans="6:6" x14ac:dyDescent="0.25">
      <c r="F1712" s="8"/>
    </row>
    <row r="1713" spans="6:6" x14ac:dyDescent="0.25">
      <c r="F1713" s="8"/>
    </row>
    <row r="1714" spans="6:6" x14ac:dyDescent="0.25">
      <c r="F1714" s="8"/>
    </row>
    <row r="1715" spans="6:6" x14ac:dyDescent="0.25">
      <c r="F1715" s="8"/>
    </row>
    <row r="1716" spans="6:6" x14ac:dyDescent="0.25">
      <c r="F1716" s="8"/>
    </row>
    <row r="1717" spans="6:6" x14ac:dyDescent="0.25">
      <c r="F1717" s="8"/>
    </row>
    <row r="1718" spans="6:6" x14ac:dyDescent="0.25">
      <c r="F1718" s="8"/>
    </row>
    <row r="1719" spans="6:6" x14ac:dyDescent="0.25">
      <c r="F1719" s="8"/>
    </row>
    <row r="1720" spans="6:6" x14ac:dyDescent="0.25">
      <c r="F1720" s="8"/>
    </row>
    <row r="1721" spans="6:6" x14ac:dyDescent="0.25">
      <c r="F1721" s="8"/>
    </row>
    <row r="1722" spans="6:6" x14ac:dyDescent="0.25">
      <c r="F1722" s="8"/>
    </row>
    <row r="1723" spans="6:6" x14ac:dyDescent="0.25">
      <c r="F1723" s="8"/>
    </row>
    <row r="1724" spans="6:6" x14ac:dyDescent="0.25">
      <c r="F1724" s="8"/>
    </row>
    <row r="1725" spans="6:6" x14ac:dyDescent="0.25">
      <c r="F1725" s="8"/>
    </row>
    <row r="1726" spans="6:6" x14ac:dyDescent="0.25">
      <c r="F1726" s="8"/>
    </row>
    <row r="1727" spans="6:6" x14ac:dyDescent="0.25">
      <c r="F1727" s="8"/>
    </row>
    <row r="1728" spans="6:6" x14ac:dyDescent="0.25">
      <c r="F1728" s="8"/>
    </row>
    <row r="1729" spans="6:6" x14ac:dyDescent="0.25">
      <c r="F1729" s="8"/>
    </row>
    <row r="1730" spans="6:6" x14ac:dyDescent="0.25">
      <c r="F1730" s="8"/>
    </row>
    <row r="1731" spans="6:6" x14ac:dyDescent="0.25">
      <c r="F1731" s="8"/>
    </row>
    <row r="1732" spans="6:6" x14ac:dyDescent="0.25">
      <c r="F1732" s="8"/>
    </row>
    <row r="1733" spans="6:6" x14ac:dyDescent="0.25">
      <c r="F1733" s="8"/>
    </row>
    <row r="1734" spans="6:6" x14ac:dyDescent="0.25">
      <c r="F1734" s="8"/>
    </row>
    <row r="1735" spans="6:6" x14ac:dyDescent="0.25">
      <c r="F1735" s="8"/>
    </row>
    <row r="1736" spans="6:6" x14ac:dyDescent="0.25">
      <c r="F1736" s="8"/>
    </row>
    <row r="1737" spans="6:6" x14ac:dyDescent="0.25">
      <c r="F1737" s="8"/>
    </row>
    <row r="1738" spans="6:6" x14ac:dyDescent="0.25">
      <c r="F1738" s="8"/>
    </row>
    <row r="1739" spans="6:6" x14ac:dyDescent="0.25">
      <c r="F1739" s="8"/>
    </row>
    <row r="1740" spans="6:6" x14ac:dyDescent="0.25">
      <c r="F1740" s="8"/>
    </row>
    <row r="1741" spans="6:6" x14ac:dyDescent="0.25">
      <c r="F1741" s="8"/>
    </row>
    <row r="1742" spans="6:6" x14ac:dyDescent="0.25">
      <c r="F1742" s="8"/>
    </row>
    <row r="1743" spans="6:6" x14ac:dyDescent="0.25">
      <c r="F1743" s="8"/>
    </row>
    <row r="1744" spans="6:6" x14ac:dyDescent="0.25">
      <c r="F1744" s="8"/>
    </row>
    <row r="1745" spans="6:6" x14ac:dyDescent="0.25">
      <c r="F1745" s="8"/>
    </row>
    <row r="1746" spans="6:6" x14ac:dyDescent="0.25">
      <c r="F1746" s="8"/>
    </row>
    <row r="1747" spans="6:6" x14ac:dyDescent="0.25">
      <c r="F1747" s="8"/>
    </row>
    <row r="1748" spans="6:6" x14ac:dyDescent="0.25">
      <c r="F1748" s="8"/>
    </row>
    <row r="1749" spans="6:6" x14ac:dyDescent="0.25">
      <c r="F1749" s="8"/>
    </row>
    <row r="1750" spans="6:6" x14ac:dyDescent="0.25">
      <c r="F1750" s="8"/>
    </row>
    <row r="1751" spans="6:6" x14ac:dyDescent="0.25">
      <c r="F1751" s="8"/>
    </row>
    <row r="1752" spans="6:6" x14ac:dyDescent="0.25">
      <c r="F1752" s="8"/>
    </row>
    <row r="1753" spans="6:6" x14ac:dyDescent="0.25">
      <c r="F1753" s="8"/>
    </row>
    <row r="1754" spans="6:6" x14ac:dyDescent="0.25">
      <c r="F1754" s="8"/>
    </row>
    <row r="1755" spans="6:6" x14ac:dyDescent="0.25">
      <c r="F1755" s="8"/>
    </row>
    <row r="1756" spans="6:6" x14ac:dyDescent="0.25">
      <c r="F1756" s="8"/>
    </row>
    <row r="1757" spans="6:6" x14ac:dyDescent="0.25">
      <c r="F1757" s="8"/>
    </row>
    <row r="1758" spans="6:6" x14ac:dyDescent="0.25">
      <c r="F1758" s="8"/>
    </row>
    <row r="1759" spans="6:6" x14ac:dyDescent="0.25">
      <c r="F1759" s="8"/>
    </row>
    <row r="1760" spans="6:6" x14ac:dyDescent="0.25">
      <c r="F1760" s="8"/>
    </row>
    <row r="1761" spans="6:6" x14ac:dyDescent="0.25">
      <c r="F1761" s="8"/>
    </row>
    <row r="1762" spans="6:6" x14ac:dyDescent="0.25">
      <c r="F1762" s="8"/>
    </row>
    <row r="1763" spans="6:6" x14ac:dyDescent="0.25">
      <c r="F1763" s="8"/>
    </row>
    <row r="1764" spans="6:6" x14ac:dyDescent="0.25">
      <c r="F1764" s="8"/>
    </row>
    <row r="1765" spans="6:6" x14ac:dyDescent="0.25">
      <c r="F1765" s="8"/>
    </row>
    <row r="1766" spans="6:6" x14ac:dyDescent="0.25">
      <c r="F1766" s="8"/>
    </row>
    <row r="1767" spans="6:6" x14ac:dyDescent="0.25">
      <c r="F1767" s="8"/>
    </row>
    <row r="1768" spans="6:6" x14ac:dyDescent="0.25">
      <c r="F1768" s="8"/>
    </row>
    <row r="1769" spans="6:6" x14ac:dyDescent="0.25">
      <c r="F1769" s="8"/>
    </row>
    <row r="1770" spans="6:6" x14ac:dyDescent="0.25">
      <c r="F1770" s="8"/>
    </row>
    <row r="1771" spans="6:6" x14ac:dyDescent="0.25">
      <c r="F1771" s="8"/>
    </row>
    <row r="1772" spans="6:6" x14ac:dyDescent="0.25">
      <c r="F1772" s="8"/>
    </row>
    <row r="1773" spans="6:6" x14ac:dyDescent="0.25">
      <c r="F1773" s="8"/>
    </row>
    <row r="1774" spans="6:6" x14ac:dyDescent="0.25">
      <c r="F1774" s="8"/>
    </row>
    <row r="1775" spans="6:6" x14ac:dyDescent="0.25">
      <c r="F1775" s="8"/>
    </row>
    <row r="1776" spans="6:6" x14ac:dyDescent="0.25">
      <c r="F1776" s="8"/>
    </row>
    <row r="1777" spans="6:6" x14ac:dyDescent="0.25">
      <c r="F1777" s="8"/>
    </row>
    <row r="1778" spans="6:6" x14ac:dyDescent="0.25">
      <c r="F1778" s="8"/>
    </row>
    <row r="1779" spans="6:6" x14ac:dyDescent="0.25">
      <c r="F1779" s="8"/>
    </row>
    <row r="1780" spans="6:6" x14ac:dyDescent="0.25">
      <c r="F1780" s="8"/>
    </row>
    <row r="1781" spans="6:6" x14ac:dyDescent="0.25">
      <c r="F1781" s="8"/>
    </row>
    <row r="1782" spans="6:6" x14ac:dyDescent="0.25">
      <c r="F1782" s="8"/>
    </row>
    <row r="1783" spans="6:6" x14ac:dyDescent="0.25">
      <c r="F1783" s="8"/>
    </row>
    <row r="1784" spans="6:6" x14ac:dyDescent="0.25">
      <c r="F1784" s="8"/>
    </row>
    <row r="1785" spans="6:6" x14ac:dyDescent="0.25">
      <c r="F1785" s="8"/>
    </row>
    <row r="1786" spans="6:6" x14ac:dyDescent="0.25">
      <c r="F1786" s="8"/>
    </row>
    <row r="1787" spans="6:6" x14ac:dyDescent="0.25">
      <c r="F1787" s="8"/>
    </row>
    <row r="1788" spans="6:6" x14ac:dyDescent="0.25">
      <c r="F1788" s="8"/>
    </row>
    <row r="1789" spans="6:6" x14ac:dyDescent="0.25">
      <c r="F1789" s="8"/>
    </row>
    <row r="1790" spans="6:6" x14ac:dyDescent="0.25">
      <c r="F1790" s="8"/>
    </row>
    <row r="1791" spans="6:6" x14ac:dyDescent="0.25">
      <c r="F1791" s="8"/>
    </row>
    <row r="1792" spans="6:6" x14ac:dyDescent="0.25">
      <c r="F1792" s="8"/>
    </row>
    <row r="1793" spans="6:6" x14ac:dyDescent="0.25">
      <c r="F1793" s="8"/>
    </row>
    <row r="1794" spans="6:6" x14ac:dyDescent="0.25">
      <c r="F1794" s="8"/>
    </row>
    <row r="1795" spans="6:6" x14ac:dyDescent="0.25">
      <c r="F1795" s="8"/>
    </row>
    <row r="1796" spans="6:6" x14ac:dyDescent="0.25">
      <c r="F1796" s="8"/>
    </row>
    <row r="1797" spans="6:6" x14ac:dyDescent="0.25">
      <c r="F1797" s="8"/>
    </row>
    <row r="1798" spans="6:6" x14ac:dyDescent="0.25">
      <c r="F1798" s="8"/>
    </row>
    <row r="1799" spans="6:6" x14ac:dyDescent="0.25">
      <c r="F1799" s="8"/>
    </row>
    <row r="1800" spans="6:6" x14ac:dyDescent="0.25">
      <c r="F1800" s="8"/>
    </row>
    <row r="1801" spans="6:6" x14ac:dyDescent="0.25">
      <c r="F1801" s="8"/>
    </row>
    <row r="1802" spans="6:6" x14ac:dyDescent="0.25">
      <c r="F1802" s="8"/>
    </row>
    <row r="1803" spans="6:6" x14ac:dyDescent="0.25">
      <c r="F1803" s="8"/>
    </row>
    <row r="1804" spans="6:6" x14ac:dyDescent="0.25">
      <c r="F1804" s="8"/>
    </row>
    <row r="1805" spans="6:6" x14ac:dyDescent="0.25">
      <c r="F1805" s="8"/>
    </row>
    <row r="1806" spans="6:6" x14ac:dyDescent="0.25">
      <c r="F1806" s="8"/>
    </row>
    <row r="1807" spans="6:6" x14ac:dyDescent="0.25">
      <c r="F1807" s="8"/>
    </row>
    <row r="1808" spans="6:6" x14ac:dyDescent="0.25">
      <c r="F1808" s="8"/>
    </row>
    <row r="1809" spans="6:6" x14ac:dyDescent="0.25">
      <c r="F1809" s="8"/>
    </row>
    <row r="1810" spans="6:6" x14ac:dyDescent="0.25">
      <c r="F1810" s="8"/>
    </row>
    <row r="1811" spans="6:6" x14ac:dyDescent="0.25">
      <c r="F1811" s="8"/>
    </row>
    <row r="1812" spans="6:6" x14ac:dyDescent="0.25">
      <c r="F1812" s="8"/>
    </row>
    <row r="1813" spans="6:6" x14ac:dyDescent="0.25">
      <c r="F1813" s="8"/>
    </row>
    <row r="1814" spans="6:6" x14ac:dyDescent="0.25">
      <c r="F1814" s="8"/>
    </row>
    <row r="1815" spans="6:6" x14ac:dyDescent="0.25">
      <c r="F1815" s="8"/>
    </row>
    <row r="1816" spans="6:6" x14ac:dyDescent="0.25">
      <c r="F1816" s="8"/>
    </row>
    <row r="1817" spans="6:6" x14ac:dyDescent="0.25">
      <c r="F1817" s="8"/>
    </row>
    <row r="1818" spans="6:6" x14ac:dyDescent="0.25">
      <c r="F1818" s="8"/>
    </row>
    <row r="1819" spans="6:6" x14ac:dyDescent="0.25">
      <c r="F1819" s="8"/>
    </row>
    <row r="1820" spans="6:6" x14ac:dyDescent="0.25">
      <c r="F1820" s="8"/>
    </row>
    <row r="1821" spans="6:6" x14ac:dyDescent="0.25">
      <c r="F1821" s="8"/>
    </row>
    <row r="1822" spans="6:6" x14ac:dyDescent="0.25">
      <c r="F1822" s="8"/>
    </row>
    <row r="1823" spans="6:6" x14ac:dyDescent="0.25">
      <c r="F1823" s="8"/>
    </row>
    <row r="1824" spans="6:6" x14ac:dyDescent="0.25">
      <c r="F1824" s="8"/>
    </row>
    <row r="1825" spans="6:6" x14ac:dyDescent="0.25">
      <c r="F1825" s="8"/>
    </row>
    <row r="1826" spans="6:6" x14ac:dyDescent="0.25">
      <c r="F1826" s="8"/>
    </row>
    <row r="1827" spans="6:6" x14ac:dyDescent="0.25">
      <c r="F1827" s="8"/>
    </row>
    <row r="1828" spans="6:6" x14ac:dyDescent="0.25">
      <c r="F1828" s="8"/>
    </row>
    <row r="1829" spans="6:6" x14ac:dyDescent="0.25">
      <c r="F1829" s="8"/>
    </row>
    <row r="1830" spans="6:6" x14ac:dyDescent="0.25">
      <c r="F1830" s="8"/>
    </row>
    <row r="1831" spans="6:6" x14ac:dyDescent="0.25">
      <c r="F1831" s="8"/>
    </row>
    <row r="1832" spans="6:6" x14ac:dyDescent="0.25">
      <c r="F1832" s="8"/>
    </row>
    <row r="1833" spans="6:6" x14ac:dyDescent="0.25">
      <c r="F1833" s="8"/>
    </row>
    <row r="1834" spans="6:6" x14ac:dyDescent="0.25">
      <c r="F1834" s="8"/>
    </row>
    <row r="1835" spans="6:6" x14ac:dyDescent="0.25">
      <c r="F1835" s="8"/>
    </row>
    <row r="1836" spans="6:6" x14ac:dyDescent="0.25">
      <c r="F1836" s="8"/>
    </row>
    <row r="1837" spans="6:6" x14ac:dyDescent="0.25">
      <c r="F1837" s="8"/>
    </row>
    <row r="1838" spans="6:6" x14ac:dyDescent="0.25">
      <c r="F1838" s="8"/>
    </row>
    <row r="1839" spans="6:6" x14ac:dyDescent="0.25">
      <c r="F1839" s="8"/>
    </row>
    <row r="1840" spans="6:6" x14ac:dyDescent="0.25">
      <c r="F1840" s="8"/>
    </row>
    <row r="1841" spans="6:6" x14ac:dyDescent="0.25">
      <c r="F1841" s="8"/>
    </row>
    <row r="1842" spans="6:6" x14ac:dyDescent="0.25">
      <c r="F1842" s="8"/>
    </row>
    <row r="1843" spans="6:6" x14ac:dyDescent="0.25">
      <c r="F1843" s="8"/>
    </row>
    <row r="1844" spans="6:6" x14ac:dyDescent="0.25">
      <c r="F1844" s="8"/>
    </row>
    <row r="1845" spans="6:6" x14ac:dyDescent="0.25">
      <c r="F1845" s="8"/>
    </row>
    <row r="1846" spans="6:6" x14ac:dyDescent="0.25">
      <c r="F1846" s="8"/>
    </row>
    <row r="1847" spans="6:6" x14ac:dyDescent="0.25">
      <c r="F1847" s="8"/>
    </row>
    <row r="1848" spans="6:6" x14ac:dyDescent="0.25">
      <c r="F1848" s="8"/>
    </row>
    <row r="1849" spans="6:6" x14ac:dyDescent="0.25">
      <c r="F1849" s="8"/>
    </row>
    <row r="1850" spans="6:6" x14ac:dyDescent="0.25">
      <c r="F1850" s="8"/>
    </row>
    <row r="1851" spans="6:6" x14ac:dyDescent="0.25">
      <c r="F1851" s="8"/>
    </row>
    <row r="1852" spans="6:6" x14ac:dyDescent="0.25">
      <c r="F1852" s="8"/>
    </row>
    <row r="1853" spans="6:6" x14ac:dyDescent="0.25">
      <c r="F1853" s="8"/>
    </row>
    <row r="1854" spans="6:6" x14ac:dyDescent="0.25">
      <c r="F1854" s="8"/>
    </row>
    <row r="1855" spans="6:6" x14ac:dyDescent="0.25">
      <c r="F1855" s="8"/>
    </row>
    <row r="1856" spans="6:6" x14ac:dyDescent="0.25">
      <c r="F1856" s="8"/>
    </row>
    <row r="1857" spans="6:6" x14ac:dyDescent="0.25">
      <c r="F1857" s="8"/>
    </row>
    <row r="1858" spans="6:6" x14ac:dyDescent="0.25">
      <c r="F1858" s="8"/>
    </row>
    <row r="1859" spans="6:6" x14ac:dyDescent="0.25">
      <c r="F1859" s="8"/>
    </row>
    <row r="1860" spans="6:6" x14ac:dyDescent="0.25">
      <c r="F1860" s="8"/>
    </row>
    <row r="1861" spans="6:6" x14ac:dyDescent="0.25">
      <c r="F1861" s="8"/>
    </row>
    <row r="1862" spans="6:6" x14ac:dyDescent="0.25">
      <c r="F1862" s="8"/>
    </row>
    <row r="1863" spans="6:6" x14ac:dyDescent="0.25">
      <c r="F1863" s="8"/>
    </row>
    <row r="1864" spans="6:6" x14ac:dyDescent="0.25">
      <c r="F1864" s="8"/>
    </row>
    <row r="1865" spans="6:6" x14ac:dyDescent="0.25">
      <c r="F1865" s="8"/>
    </row>
    <row r="1866" spans="6:6" x14ac:dyDescent="0.25">
      <c r="F1866" s="8"/>
    </row>
    <row r="1867" spans="6:6" x14ac:dyDescent="0.25">
      <c r="F1867" s="8"/>
    </row>
    <row r="1868" spans="6:6" x14ac:dyDescent="0.25">
      <c r="F1868" s="8"/>
    </row>
    <row r="1869" spans="6:6" x14ac:dyDescent="0.25">
      <c r="F1869" s="8"/>
    </row>
    <row r="1870" spans="6:6" x14ac:dyDescent="0.25">
      <c r="F1870" s="8"/>
    </row>
    <row r="1871" spans="6:6" x14ac:dyDescent="0.25">
      <c r="F1871" s="8"/>
    </row>
    <row r="1872" spans="6:6" x14ac:dyDescent="0.25">
      <c r="F1872" s="8"/>
    </row>
    <row r="1873" spans="6:6" x14ac:dyDescent="0.25">
      <c r="F1873" s="8"/>
    </row>
    <row r="1874" spans="6:6" x14ac:dyDescent="0.25">
      <c r="F1874" s="8"/>
    </row>
    <row r="1875" spans="6:6" x14ac:dyDescent="0.25">
      <c r="F1875" s="8"/>
    </row>
    <row r="1876" spans="6:6" x14ac:dyDescent="0.25">
      <c r="F1876" s="8"/>
    </row>
    <row r="1877" spans="6:6" x14ac:dyDescent="0.25">
      <c r="F1877" s="8"/>
    </row>
    <row r="1878" spans="6:6" x14ac:dyDescent="0.25">
      <c r="F1878" s="8"/>
    </row>
    <row r="1879" spans="6:6" x14ac:dyDescent="0.25">
      <c r="F1879" s="8"/>
    </row>
    <row r="1880" spans="6:6" x14ac:dyDescent="0.25">
      <c r="F1880" s="8"/>
    </row>
    <row r="1881" spans="6:6" x14ac:dyDescent="0.25">
      <c r="F1881" s="8"/>
    </row>
    <row r="1882" spans="6:6" x14ac:dyDescent="0.25">
      <c r="F1882" s="8"/>
    </row>
    <row r="1883" spans="6:6" x14ac:dyDescent="0.25">
      <c r="F1883" s="8"/>
    </row>
    <row r="1884" spans="6:6" x14ac:dyDescent="0.25">
      <c r="F1884" s="8"/>
    </row>
    <row r="1885" spans="6:6" x14ac:dyDescent="0.25">
      <c r="F1885" s="8"/>
    </row>
    <row r="1886" spans="6:6" x14ac:dyDescent="0.25">
      <c r="F1886" s="8"/>
    </row>
    <row r="1887" spans="6:6" x14ac:dyDescent="0.25">
      <c r="F1887" s="8"/>
    </row>
    <row r="1888" spans="6:6" x14ac:dyDescent="0.25">
      <c r="F1888" s="8"/>
    </row>
    <row r="1889" spans="6:6" x14ac:dyDescent="0.25">
      <c r="F1889" s="8"/>
    </row>
    <row r="1890" spans="6:6" x14ac:dyDescent="0.25">
      <c r="F1890" s="8"/>
    </row>
    <row r="1891" spans="6:6" x14ac:dyDescent="0.25">
      <c r="F1891" s="8"/>
    </row>
    <row r="1892" spans="6:6" x14ac:dyDescent="0.25">
      <c r="F1892" s="8"/>
    </row>
    <row r="1893" spans="6:6" x14ac:dyDescent="0.25">
      <c r="F1893" s="8"/>
    </row>
    <row r="1894" spans="6:6" x14ac:dyDescent="0.25">
      <c r="F1894" s="8"/>
    </row>
    <row r="1895" spans="6:6" x14ac:dyDescent="0.25">
      <c r="F1895" s="8"/>
    </row>
    <row r="1896" spans="6:6" x14ac:dyDescent="0.25">
      <c r="F1896" s="8"/>
    </row>
    <row r="1897" spans="6:6" x14ac:dyDescent="0.25">
      <c r="F1897" s="8"/>
    </row>
    <row r="1898" spans="6:6" x14ac:dyDescent="0.25">
      <c r="F1898" s="8"/>
    </row>
    <row r="1899" spans="6:6" x14ac:dyDescent="0.25">
      <c r="F1899" s="8"/>
    </row>
    <row r="1900" spans="6:6" x14ac:dyDescent="0.25">
      <c r="F1900" s="8"/>
    </row>
    <row r="1901" spans="6:6" x14ac:dyDescent="0.25">
      <c r="F1901" s="8"/>
    </row>
    <row r="1902" spans="6:6" x14ac:dyDescent="0.25">
      <c r="F1902" s="8"/>
    </row>
    <row r="1903" spans="6:6" x14ac:dyDescent="0.25">
      <c r="F1903" s="8"/>
    </row>
    <row r="1904" spans="6:6" x14ac:dyDescent="0.25">
      <c r="F1904" s="8"/>
    </row>
    <row r="1905" spans="6:6" x14ac:dyDescent="0.25">
      <c r="F1905" s="8"/>
    </row>
    <row r="1906" spans="6:6" x14ac:dyDescent="0.25">
      <c r="F1906" s="8"/>
    </row>
    <row r="1907" spans="6:6" x14ac:dyDescent="0.25">
      <c r="F1907" s="8"/>
    </row>
    <row r="1908" spans="6:6" x14ac:dyDescent="0.25">
      <c r="F1908" s="8"/>
    </row>
    <row r="1909" spans="6:6" x14ac:dyDescent="0.25">
      <c r="F1909" s="8"/>
    </row>
    <row r="1910" spans="6:6" x14ac:dyDescent="0.25">
      <c r="F1910" s="8"/>
    </row>
    <row r="1911" spans="6:6" x14ac:dyDescent="0.25">
      <c r="F1911" s="8"/>
    </row>
    <row r="1912" spans="6:6" x14ac:dyDescent="0.25">
      <c r="F1912" s="8"/>
    </row>
    <row r="1913" spans="6:6" x14ac:dyDescent="0.25">
      <c r="F1913" s="8"/>
    </row>
    <row r="1914" spans="6:6" x14ac:dyDescent="0.25">
      <c r="F1914" s="8"/>
    </row>
    <row r="1915" spans="6:6" x14ac:dyDescent="0.25">
      <c r="F1915" s="8"/>
    </row>
    <row r="1916" spans="6:6" x14ac:dyDescent="0.25">
      <c r="F1916" s="8"/>
    </row>
    <row r="1917" spans="6:6" x14ac:dyDescent="0.25">
      <c r="F1917" s="8"/>
    </row>
    <row r="1918" spans="6:6" x14ac:dyDescent="0.25">
      <c r="F1918" s="8"/>
    </row>
    <row r="1919" spans="6:6" x14ac:dyDescent="0.25">
      <c r="F1919" s="8"/>
    </row>
    <row r="1920" spans="6:6" x14ac:dyDescent="0.25">
      <c r="F1920" s="8"/>
    </row>
    <row r="1921" spans="6:6" x14ac:dyDescent="0.25">
      <c r="F1921" s="8"/>
    </row>
    <row r="1922" spans="6:6" x14ac:dyDescent="0.25">
      <c r="F1922" s="8"/>
    </row>
    <row r="1923" spans="6:6" x14ac:dyDescent="0.25">
      <c r="F1923" s="8"/>
    </row>
    <row r="1924" spans="6:6" x14ac:dyDescent="0.25">
      <c r="F1924" s="8"/>
    </row>
    <row r="1925" spans="6:6" x14ac:dyDescent="0.25">
      <c r="F1925" s="8"/>
    </row>
    <row r="1926" spans="6:6" x14ac:dyDescent="0.25">
      <c r="F1926" s="8"/>
    </row>
    <row r="1927" spans="6:6" x14ac:dyDescent="0.25">
      <c r="F1927" s="8"/>
    </row>
    <row r="1928" spans="6:6" x14ac:dyDescent="0.25">
      <c r="F1928" s="8"/>
    </row>
    <row r="1929" spans="6:6" x14ac:dyDescent="0.25">
      <c r="F1929" s="8"/>
    </row>
    <row r="1930" spans="6:6" x14ac:dyDescent="0.25">
      <c r="F1930" s="8"/>
    </row>
    <row r="1931" spans="6:6" x14ac:dyDescent="0.25">
      <c r="F1931" s="8"/>
    </row>
    <row r="1932" spans="6:6" x14ac:dyDescent="0.25">
      <c r="F1932" s="8"/>
    </row>
    <row r="1933" spans="6:6" x14ac:dyDescent="0.25">
      <c r="F1933" s="8"/>
    </row>
    <row r="1934" spans="6:6" x14ac:dyDescent="0.25">
      <c r="F1934" s="8"/>
    </row>
    <row r="1935" spans="6:6" x14ac:dyDescent="0.25">
      <c r="F1935" s="8"/>
    </row>
    <row r="1936" spans="6:6" x14ac:dyDescent="0.25">
      <c r="F1936" s="8"/>
    </row>
    <row r="1937" spans="6:6" x14ac:dyDescent="0.25">
      <c r="F1937" s="8"/>
    </row>
    <row r="1938" spans="6:6" x14ac:dyDescent="0.25">
      <c r="F1938" s="8"/>
    </row>
    <row r="1939" spans="6:6" x14ac:dyDescent="0.25">
      <c r="F1939" s="8"/>
    </row>
    <row r="1940" spans="6:6" x14ac:dyDescent="0.25">
      <c r="F1940" s="8"/>
    </row>
    <row r="1941" spans="6:6" x14ac:dyDescent="0.25">
      <c r="F1941" s="8"/>
    </row>
    <row r="1942" spans="6:6" x14ac:dyDescent="0.25">
      <c r="F1942" s="8"/>
    </row>
    <row r="1943" spans="6:6" x14ac:dyDescent="0.25">
      <c r="F1943" s="8"/>
    </row>
    <row r="1944" spans="6:6" x14ac:dyDescent="0.25">
      <c r="F1944" s="8"/>
    </row>
    <row r="1945" spans="6:6" x14ac:dyDescent="0.25">
      <c r="F1945" s="8"/>
    </row>
    <row r="1946" spans="6:6" x14ac:dyDescent="0.25">
      <c r="F1946" s="8"/>
    </row>
    <row r="1947" spans="6:6" x14ac:dyDescent="0.25">
      <c r="F1947" s="8"/>
    </row>
    <row r="1948" spans="6:6" x14ac:dyDescent="0.25">
      <c r="F1948" s="8"/>
    </row>
    <row r="1949" spans="6:6" x14ac:dyDescent="0.25">
      <c r="F1949" s="8"/>
    </row>
    <row r="1950" spans="6:6" x14ac:dyDescent="0.25">
      <c r="F1950" s="8"/>
    </row>
    <row r="1951" spans="6:6" x14ac:dyDescent="0.25">
      <c r="F1951" s="8"/>
    </row>
    <row r="1952" spans="6:6" x14ac:dyDescent="0.25">
      <c r="F1952" s="8"/>
    </row>
    <row r="1953" spans="6:6" x14ac:dyDescent="0.25">
      <c r="F1953" s="8"/>
    </row>
    <row r="1954" spans="6:6" x14ac:dyDescent="0.25">
      <c r="F1954" s="8"/>
    </row>
    <row r="1955" spans="6:6" x14ac:dyDescent="0.25">
      <c r="F1955" s="8"/>
    </row>
    <row r="1956" spans="6:6" x14ac:dyDescent="0.25">
      <c r="F1956" s="8"/>
    </row>
    <row r="1957" spans="6:6" x14ac:dyDescent="0.25">
      <c r="F1957" s="8"/>
    </row>
    <row r="1958" spans="6:6" x14ac:dyDescent="0.25">
      <c r="F1958" s="8"/>
    </row>
    <row r="1959" spans="6:6" x14ac:dyDescent="0.25">
      <c r="F1959" s="8"/>
    </row>
    <row r="1960" spans="6:6" x14ac:dyDescent="0.25">
      <c r="F1960" s="8"/>
    </row>
    <row r="1961" spans="6:6" x14ac:dyDescent="0.25">
      <c r="F1961" s="8"/>
    </row>
    <row r="1962" spans="6:6" x14ac:dyDescent="0.25">
      <c r="F1962" s="8"/>
    </row>
    <row r="1963" spans="6:6" x14ac:dyDescent="0.25">
      <c r="F1963" s="8"/>
    </row>
    <row r="1964" spans="6:6" x14ac:dyDescent="0.25">
      <c r="F1964" s="8"/>
    </row>
    <row r="1965" spans="6:6" x14ac:dyDescent="0.25">
      <c r="F1965" s="8"/>
    </row>
    <row r="1966" spans="6:6" x14ac:dyDescent="0.25">
      <c r="F1966" s="8"/>
    </row>
    <row r="1967" spans="6:6" x14ac:dyDescent="0.25">
      <c r="F1967" s="8"/>
    </row>
    <row r="1968" spans="6:6" x14ac:dyDescent="0.25">
      <c r="F1968" s="8"/>
    </row>
    <row r="1969" spans="6:6" x14ac:dyDescent="0.25">
      <c r="F1969" s="8"/>
    </row>
    <row r="1970" spans="6:6" x14ac:dyDescent="0.25">
      <c r="F1970" s="8"/>
    </row>
    <row r="1971" spans="6:6" x14ac:dyDescent="0.25">
      <c r="F1971" s="8"/>
    </row>
    <row r="1972" spans="6:6" x14ac:dyDescent="0.25">
      <c r="F1972" s="8"/>
    </row>
    <row r="1973" spans="6:6" x14ac:dyDescent="0.25">
      <c r="F1973" s="8"/>
    </row>
    <row r="1974" spans="6:6" x14ac:dyDescent="0.25">
      <c r="F1974" s="8"/>
    </row>
    <row r="1975" spans="6:6" x14ac:dyDescent="0.25">
      <c r="F1975" s="8"/>
    </row>
    <row r="1976" spans="6:6" x14ac:dyDescent="0.25">
      <c r="F1976" s="8"/>
    </row>
    <row r="1977" spans="6:6" x14ac:dyDescent="0.25">
      <c r="F1977" s="8"/>
    </row>
    <row r="1978" spans="6:6" x14ac:dyDescent="0.25">
      <c r="F1978" s="8"/>
    </row>
    <row r="1979" spans="6:6" x14ac:dyDescent="0.25">
      <c r="F1979" s="8"/>
    </row>
    <row r="1980" spans="6:6" x14ac:dyDescent="0.25">
      <c r="F1980" s="8"/>
    </row>
    <row r="1981" spans="6:6" x14ac:dyDescent="0.25">
      <c r="F1981" s="8"/>
    </row>
    <row r="1982" spans="6:6" x14ac:dyDescent="0.25">
      <c r="F1982" s="8"/>
    </row>
    <row r="1983" spans="6:6" x14ac:dyDescent="0.25">
      <c r="F1983" s="8"/>
    </row>
    <row r="1984" spans="6:6" x14ac:dyDescent="0.25">
      <c r="F1984" s="8"/>
    </row>
    <row r="1985" spans="6:6" x14ac:dyDescent="0.25">
      <c r="F1985" s="8"/>
    </row>
    <row r="1986" spans="6:6" x14ac:dyDescent="0.25">
      <c r="F1986" s="8"/>
    </row>
    <row r="1987" spans="6:6" x14ac:dyDescent="0.25">
      <c r="F1987" s="8"/>
    </row>
    <row r="1988" spans="6:6" x14ac:dyDescent="0.25">
      <c r="F1988" s="8"/>
    </row>
    <row r="1989" spans="6:6" x14ac:dyDescent="0.25">
      <c r="F1989" s="8"/>
    </row>
    <row r="1990" spans="6:6" x14ac:dyDescent="0.25">
      <c r="F1990" s="8"/>
    </row>
    <row r="1991" spans="6:6" x14ac:dyDescent="0.25">
      <c r="F1991" s="8"/>
    </row>
    <row r="1992" spans="6:6" x14ac:dyDescent="0.25">
      <c r="F1992" s="8"/>
    </row>
    <row r="1993" spans="6:6" x14ac:dyDescent="0.25">
      <c r="F1993" s="8"/>
    </row>
    <row r="1994" spans="6:6" x14ac:dyDescent="0.25">
      <c r="F1994" s="8"/>
    </row>
    <row r="1995" spans="6:6" x14ac:dyDescent="0.25">
      <c r="F1995" s="8"/>
    </row>
    <row r="1996" spans="6:6" x14ac:dyDescent="0.25">
      <c r="F1996" s="8"/>
    </row>
    <row r="1997" spans="6:6" x14ac:dyDescent="0.25">
      <c r="F1997" s="8"/>
    </row>
    <row r="1998" spans="6:6" x14ac:dyDescent="0.25">
      <c r="F1998" s="8"/>
    </row>
    <row r="1999" spans="6:6" x14ac:dyDescent="0.25">
      <c r="F1999" s="8"/>
    </row>
    <row r="2000" spans="6:6" x14ac:dyDescent="0.25">
      <c r="F2000" s="8"/>
    </row>
    <row r="2001" spans="6:6" x14ac:dyDescent="0.25">
      <c r="F2001" s="8"/>
    </row>
    <row r="2002" spans="6:6" x14ac:dyDescent="0.25">
      <c r="F2002" s="8"/>
    </row>
    <row r="2003" spans="6:6" x14ac:dyDescent="0.25">
      <c r="F2003" s="8"/>
    </row>
    <row r="2004" spans="6:6" x14ac:dyDescent="0.25">
      <c r="F2004" s="8"/>
    </row>
    <row r="2005" spans="6:6" x14ac:dyDescent="0.25">
      <c r="F2005" s="8"/>
    </row>
    <row r="2006" spans="6:6" x14ac:dyDescent="0.25">
      <c r="F2006" s="8"/>
    </row>
    <row r="2007" spans="6:6" x14ac:dyDescent="0.25">
      <c r="F2007" s="8"/>
    </row>
    <row r="2008" spans="6:6" x14ac:dyDescent="0.25">
      <c r="F2008" s="8"/>
    </row>
    <row r="2009" spans="6:6" x14ac:dyDescent="0.25">
      <c r="F2009" s="8"/>
    </row>
    <row r="2010" spans="6:6" x14ac:dyDescent="0.25">
      <c r="F2010" s="8"/>
    </row>
    <row r="2011" spans="6:6" x14ac:dyDescent="0.25">
      <c r="F2011" s="8"/>
    </row>
    <row r="2012" spans="6:6" x14ac:dyDescent="0.25">
      <c r="F2012" s="8"/>
    </row>
    <row r="2013" spans="6:6" x14ac:dyDescent="0.25">
      <c r="F2013" s="8"/>
    </row>
    <row r="2014" spans="6:6" x14ac:dyDescent="0.25">
      <c r="F2014" s="8"/>
    </row>
    <row r="2015" spans="6:6" x14ac:dyDescent="0.25">
      <c r="F2015" s="8"/>
    </row>
    <row r="2016" spans="6:6" x14ac:dyDescent="0.25">
      <c r="F2016" s="8"/>
    </row>
    <row r="2017" spans="6:6" x14ac:dyDescent="0.25">
      <c r="F2017" s="8"/>
    </row>
    <row r="2018" spans="6:6" x14ac:dyDescent="0.25">
      <c r="F2018" s="8"/>
    </row>
    <row r="2019" spans="6:6" x14ac:dyDescent="0.25">
      <c r="F2019" s="8"/>
    </row>
    <row r="2020" spans="6:6" x14ac:dyDescent="0.25">
      <c r="F2020" s="8"/>
    </row>
    <row r="2021" spans="6:6" x14ac:dyDescent="0.25">
      <c r="F2021" s="8"/>
    </row>
    <row r="2022" spans="6:6" x14ac:dyDescent="0.25">
      <c r="F2022" s="8"/>
    </row>
    <row r="2023" spans="6:6" x14ac:dyDescent="0.25">
      <c r="F2023" s="8"/>
    </row>
    <row r="2024" spans="6:6" x14ac:dyDescent="0.25">
      <c r="F2024" s="8"/>
    </row>
    <row r="2025" spans="6:6" x14ac:dyDescent="0.25">
      <c r="F2025" s="8"/>
    </row>
    <row r="2026" spans="6:6" x14ac:dyDescent="0.25">
      <c r="F2026" s="8"/>
    </row>
    <row r="2027" spans="6:6" x14ac:dyDescent="0.25">
      <c r="F2027" s="8"/>
    </row>
    <row r="2028" spans="6:6" x14ac:dyDescent="0.25">
      <c r="F2028" s="8"/>
    </row>
    <row r="2029" spans="6:6" x14ac:dyDescent="0.25">
      <c r="F2029" s="8"/>
    </row>
    <row r="2030" spans="6:6" x14ac:dyDescent="0.25">
      <c r="F2030" s="8"/>
    </row>
    <row r="2031" spans="6:6" x14ac:dyDescent="0.25">
      <c r="F2031" s="8"/>
    </row>
    <row r="2032" spans="6:6" x14ac:dyDescent="0.25">
      <c r="F2032" s="8"/>
    </row>
    <row r="2033" spans="6:6" x14ac:dyDescent="0.25">
      <c r="F2033" s="8"/>
    </row>
    <row r="2034" spans="6:6" x14ac:dyDescent="0.25">
      <c r="F2034" s="8"/>
    </row>
    <row r="2035" spans="6:6" x14ac:dyDescent="0.25">
      <c r="F2035" s="8"/>
    </row>
    <row r="2036" spans="6:6" x14ac:dyDescent="0.25">
      <c r="F2036" s="8"/>
    </row>
    <row r="2037" spans="6:6" x14ac:dyDescent="0.25">
      <c r="F2037" s="8"/>
    </row>
    <row r="2038" spans="6:6" x14ac:dyDescent="0.25">
      <c r="F2038" s="8"/>
    </row>
    <row r="2039" spans="6:6" x14ac:dyDescent="0.25">
      <c r="F2039" s="8"/>
    </row>
    <row r="2040" spans="6:6" x14ac:dyDescent="0.25">
      <c r="F2040" s="8"/>
    </row>
    <row r="2041" spans="6:6" x14ac:dyDescent="0.25">
      <c r="F2041" s="8"/>
    </row>
    <row r="2042" spans="6:6" x14ac:dyDescent="0.25">
      <c r="F2042" s="8"/>
    </row>
    <row r="2043" spans="6:6" x14ac:dyDescent="0.25">
      <c r="F2043" s="8"/>
    </row>
    <row r="2044" spans="6:6" x14ac:dyDescent="0.25">
      <c r="F2044" s="8"/>
    </row>
    <row r="2045" spans="6:6" x14ac:dyDescent="0.25">
      <c r="F2045" s="8"/>
    </row>
    <row r="2046" spans="6:6" x14ac:dyDescent="0.25">
      <c r="F2046" s="8"/>
    </row>
    <row r="2047" spans="6:6" x14ac:dyDescent="0.25">
      <c r="F2047" s="8"/>
    </row>
    <row r="2048" spans="6:6" x14ac:dyDescent="0.25">
      <c r="F2048" s="8"/>
    </row>
    <row r="2049" spans="6:6" x14ac:dyDescent="0.25">
      <c r="F2049" s="8"/>
    </row>
    <row r="2050" spans="6:6" x14ac:dyDescent="0.25">
      <c r="F2050" s="8"/>
    </row>
    <row r="2051" spans="6:6" x14ac:dyDescent="0.25">
      <c r="F2051" s="8"/>
    </row>
    <row r="2052" spans="6:6" x14ac:dyDescent="0.25">
      <c r="F2052" s="8"/>
    </row>
    <row r="2053" spans="6:6" x14ac:dyDescent="0.25">
      <c r="F2053" s="8"/>
    </row>
    <row r="2054" spans="6:6" x14ac:dyDescent="0.25">
      <c r="F2054" s="8"/>
    </row>
    <row r="2055" spans="6:6" x14ac:dyDescent="0.25">
      <c r="F2055" s="8"/>
    </row>
    <row r="2056" spans="6:6" x14ac:dyDescent="0.25">
      <c r="F2056" s="8"/>
    </row>
    <row r="2057" spans="6:6" x14ac:dyDescent="0.25">
      <c r="F2057" s="8"/>
    </row>
    <row r="2058" spans="6:6" x14ac:dyDescent="0.25">
      <c r="F2058" s="8"/>
    </row>
    <row r="2059" spans="6:6" x14ac:dyDescent="0.25">
      <c r="F2059" s="8"/>
    </row>
    <row r="2060" spans="6:6" x14ac:dyDescent="0.25">
      <c r="F2060" s="8"/>
    </row>
    <row r="2061" spans="6:6" x14ac:dyDescent="0.25">
      <c r="F2061" s="8"/>
    </row>
    <row r="2062" spans="6:6" x14ac:dyDescent="0.25">
      <c r="F2062" s="8"/>
    </row>
    <row r="2063" spans="6:6" x14ac:dyDescent="0.25">
      <c r="F2063" s="8"/>
    </row>
    <row r="2064" spans="6:6" x14ac:dyDescent="0.25">
      <c r="F2064" s="8"/>
    </row>
    <row r="2065" spans="6:6" x14ac:dyDescent="0.25">
      <c r="F2065" s="8"/>
    </row>
    <row r="2066" spans="6:6" x14ac:dyDescent="0.25">
      <c r="F2066" s="8"/>
    </row>
    <row r="2067" spans="6:6" x14ac:dyDescent="0.25">
      <c r="F2067" s="8"/>
    </row>
    <row r="2068" spans="6:6" x14ac:dyDescent="0.25">
      <c r="F2068" s="8"/>
    </row>
    <row r="2069" spans="6:6" x14ac:dyDescent="0.25">
      <c r="F2069" s="8"/>
    </row>
    <row r="2070" spans="6:6" x14ac:dyDescent="0.25">
      <c r="F2070" s="8"/>
    </row>
    <row r="2071" spans="6:6" x14ac:dyDescent="0.25">
      <c r="F2071" s="8"/>
    </row>
    <row r="2072" spans="6:6" x14ac:dyDescent="0.25">
      <c r="F2072" s="8"/>
    </row>
    <row r="2073" spans="6:6" x14ac:dyDescent="0.25">
      <c r="F2073" s="8"/>
    </row>
    <row r="2074" spans="6:6" x14ac:dyDescent="0.25">
      <c r="F2074" s="8"/>
    </row>
    <row r="2075" spans="6:6" x14ac:dyDescent="0.25">
      <c r="F2075" s="8"/>
    </row>
    <row r="2076" spans="6:6" x14ac:dyDescent="0.25">
      <c r="F2076" s="8"/>
    </row>
    <row r="2077" spans="6:6" x14ac:dyDescent="0.25">
      <c r="F2077" s="8"/>
    </row>
    <row r="2078" spans="6:6" x14ac:dyDescent="0.25">
      <c r="F2078" s="8"/>
    </row>
    <row r="2079" spans="6:6" x14ac:dyDescent="0.25">
      <c r="F2079" s="8"/>
    </row>
    <row r="2080" spans="6:6" x14ac:dyDescent="0.25">
      <c r="F2080" s="8"/>
    </row>
    <row r="2081" spans="6:6" x14ac:dyDescent="0.25">
      <c r="F2081" s="8"/>
    </row>
    <row r="2082" spans="6:6" x14ac:dyDescent="0.25">
      <c r="F2082" s="8"/>
    </row>
    <row r="2083" spans="6:6" x14ac:dyDescent="0.25">
      <c r="F2083" s="8"/>
    </row>
    <row r="2084" spans="6:6" x14ac:dyDescent="0.25">
      <c r="F2084" s="8"/>
    </row>
    <row r="2085" spans="6:6" x14ac:dyDescent="0.25">
      <c r="F2085" s="8"/>
    </row>
    <row r="2086" spans="6:6" x14ac:dyDescent="0.25">
      <c r="F2086" s="8"/>
    </row>
    <row r="2087" spans="6:6" x14ac:dyDescent="0.25">
      <c r="F2087" s="8"/>
    </row>
    <row r="2088" spans="6:6" x14ac:dyDescent="0.25">
      <c r="F2088" s="8"/>
    </row>
    <row r="2089" spans="6:6" x14ac:dyDescent="0.25">
      <c r="F2089" s="8"/>
    </row>
    <row r="2090" spans="6:6" x14ac:dyDescent="0.25">
      <c r="F2090" s="8"/>
    </row>
    <row r="2091" spans="6:6" x14ac:dyDescent="0.25">
      <c r="F2091" s="8"/>
    </row>
    <row r="2092" spans="6:6" x14ac:dyDescent="0.25">
      <c r="F2092" s="8"/>
    </row>
    <row r="2093" spans="6:6" x14ac:dyDescent="0.25">
      <c r="F2093" s="8"/>
    </row>
    <row r="2094" spans="6:6" x14ac:dyDescent="0.25">
      <c r="F2094" s="8"/>
    </row>
    <row r="2095" spans="6:6" x14ac:dyDescent="0.25">
      <c r="F2095" s="8"/>
    </row>
    <row r="2096" spans="6:6" x14ac:dyDescent="0.25">
      <c r="F2096" s="8"/>
    </row>
    <row r="2097" spans="6:6" x14ac:dyDescent="0.25">
      <c r="F2097" s="8"/>
    </row>
    <row r="2098" spans="6:6" x14ac:dyDescent="0.25">
      <c r="F2098" s="8"/>
    </row>
    <row r="2099" spans="6:6" x14ac:dyDescent="0.25">
      <c r="F2099" s="8"/>
    </row>
    <row r="2100" spans="6:6" x14ac:dyDescent="0.25">
      <c r="F2100" s="8"/>
    </row>
    <row r="2101" spans="6:6" x14ac:dyDescent="0.25">
      <c r="F2101" s="8"/>
    </row>
    <row r="2102" spans="6:6" x14ac:dyDescent="0.25">
      <c r="F2102" s="8"/>
    </row>
    <row r="2103" spans="6:6" x14ac:dyDescent="0.25">
      <c r="F2103" s="8"/>
    </row>
    <row r="2104" spans="6:6" x14ac:dyDescent="0.25">
      <c r="F2104" s="8"/>
    </row>
    <row r="2105" spans="6:6" x14ac:dyDescent="0.25">
      <c r="F2105" s="8"/>
    </row>
    <row r="2106" spans="6:6" x14ac:dyDescent="0.25">
      <c r="F2106" s="8"/>
    </row>
    <row r="2107" spans="6:6" x14ac:dyDescent="0.25">
      <c r="F2107" s="8"/>
    </row>
    <row r="2108" spans="6:6" x14ac:dyDescent="0.25">
      <c r="F2108" s="8"/>
    </row>
    <row r="2109" spans="6:6" x14ac:dyDescent="0.25">
      <c r="F2109" s="8"/>
    </row>
    <row r="2110" spans="6:6" x14ac:dyDescent="0.25">
      <c r="F2110" s="8"/>
    </row>
    <row r="2111" spans="6:6" x14ac:dyDescent="0.25">
      <c r="F2111" s="8"/>
    </row>
    <row r="2112" spans="6:6" x14ac:dyDescent="0.25">
      <c r="F2112" s="8"/>
    </row>
    <row r="2113" spans="6:6" x14ac:dyDescent="0.25">
      <c r="F2113" s="8"/>
    </row>
    <row r="2114" spans="6:6" x14ac:dyDescent="0.25">
      <c r="F2114" s="8"/>
    </row>
    <row r="2115" spans="6:6" x14ac:dyDescent="0.25">
      <c r="F2115" s="8"/>
    </row>
    <row r="2116" spans="6:6" x14ac:dyDescent="0.25">
      <c r="F2116" s="8"/>
    </row>
    <row r="2117" spans="6:6" x14ac:dyDescent="0.25">
      <c r="F2117" s="8"/>
    </row>
    <row r="2118" spans="6:6" x14ac:dyDescent="0.25">
      <c r="F2118" s="8"/>
    </row>
    <row r="2119" spans="6:6" x14ac:dyDescent="0.25">
      <c r="F2119" s="8"/>
    </row>
    <row r="2120" spans="6:6" x14ac:dyDescent="0.25">
      <c r="F2120" s="8"/>
    </row>
    <row r="2121" spans="6:6" x14ac:dyDescent="0.25">
      <c r="F2121" s="8"/>
    </row>
    <row r="2122" spans="6:6" x14ac:dyDescent="0.25">
      <c r="F2122" s="8"/>
    </row>
    <row r="2123" spans="6:6" x14ac:dyDescent="0.25">
      <c r="F2123" s="8"/>
    </row>
    <row r="2124" spans="6:6" x14ac:dyDescent="0.25">
      <c r="F2124" s="8"/>
    </row>
    <row r="2125" spans="6:6" x14ac:dyDescent="0.25">
      <c r="F2125" s="8"/>
    </row>
    <row r="2126" spans="6:6" x14ac:dyDescent="0.25">
      <c r="F2126" s="8"/>
    </row>
    <row r="2127" spans="6:6" x14ac:dyDescent="0.25">
      <c r="F2127" s="8"/>
    </row>
    <row r="2128" spans="6:6" x14ac:dyDescent="0.25">
      <c r="F2128" s="8"/>
    </row>
    <row r="2129" spans="6:6" x14ac:dyDescent="0.25">
      <c r="F2129" s="8"/>
    </row>
    <row r="2130" spans="6:6" x14ac:dyDescent="0.25">
      <c r="F2130" s="8"/>
    </row>
    <row r="2131" spans="6:6" x14ac:dyDescent="0.25">
      <c r="F2131" s="8"/>
    </row>
    <row r="2132" spans="6:6" x14ac:dyDescent="0.25">
      <c r="F2132" s="8"/>
    </row>
    <row r="2133" spans="6:6" x14ac:dyDescent="0.25">
      <c r="F2133" s="8"/>
    </row>
    <row r="2134" spans="6:6" x14ac:dyDescent="0.25">
      <c r="F2134" s="8"/>
    </row>
    <row r="2135" spans="6:6" x14ac:dyDescent="0.25">
      <c r="F2135" s="8"/>
    </row>
    <row r="2136" spans="6:6" x14ac:dyDescent="0.25">
      <c r="F2136" s="8"/>
    </row>
    <row r="2137" spans="6:6" x14ac:dyDescent="0.25">
      <c r="F2137" s="8"/>
    </row>
    <row r="2138" spans="6:6" x14ac:dyDescent="0.25">
      <c r="F2138" s="8"/>
    </row>
    <row r="2139" spans="6:6" x14ac:dyDescent="0.25">
      <c r="F2139" s="8"/>
    </row>
    <row r="2140" spans="6:6" x14ac:dyDescent="0.25">
      <c r="F2140" s="8"/>
    </row>
    <row r="2141" spans="6:6" x14ac:dyDescent="0.25">
      <c r="F2141" s="8"/>
    </row>
    <row r="2142" spans="6:6" x14ac:dyDescent="0.25">
      <c r="F2142" s="8"/>
    </row>
    <row r="2143" spans="6:6" x14ac:dyDescent="0.25">
      <c r="F2143" s="8"/>
    </row>
    <row r="2144" spans="6:6" x14ac:dyDescent="0.25">
      <c r="F2144" s="8"/>
    </row>
    <row r="2145" spans="6:6" x14ac:dyDescent="0.25">
      <c r="F2145" s="8"/>
    </row>
    <row r="2146" spans="6:6" x14ac:dyDescent="0.25">
      <c r="F2146" s="8"/>
    </row>
    <row r="2147" spans="6:6" x14ac:dyDescent="0.25">
      <c r="F2147" s="8"/>
    </row>
    <row r="2148" spans="6:6" x14ac:dyDescent="0.25">
      <c r="F2148" s="8"/>
    </row>
    <row r="2149" spans="6:6" x14ac:dyDescent="0.25">
      <c r="F2149" s="8"/>
    </row>
    <row r="2150" spans="6:6" x14ac:dyDescent="0.25">
      <c r="F2150" s="8"/>
    </row>
    <row r="2151" spans="6:6" x14ac:dyDescent="0.25">
      <c r="F2151" s="8"/>
    </row>
    <row r="2152" spans="6:6" x14ac:dyDescent="0.25">
      <c r="F2152" s="8"/>
    </row>
    <row r="2153" spans="6:6" x14ac:dyDescent="0.25">
      <c r="F2153" s="8"/>
    </row>
    <row r="2154" spans="6:6" x14ac:dyDescent="0.25">
      <c r="F2154" s="8"/>
    </row>
    <row r="2155" spans="6:6" x14ac:dyDescent="0.25">
      <c r="F2155" s="8"/>
    </row>
    <row r="2156" spans="6:6" x14ac:dyDescent="0.25">
      <c r="F2156" s="8"/>
    </row>
    <row r="2157" spans="6:6" x14ac:dyDescent="0.25">
      <c r="F2157" s="8"/>
    </row>
    <row r="2158" spans="6:6" x14ac:dyDescent="0.25">
      <c r="F2158" s="8"/>
    </row>
    <row r="2159" spans="6:6" x14ac:dyDescent="0.25">
      <c r="F2159" s="8"/>
    </row>
    <row r="2160" spans="6:6" x14ac:dyDescent="0.25">
      <c r="F2160" s="8"/>
    </row>
    <row r="2161" spans="6:6" x14ac:dyDescent="0.25">
      <c r="F2161" s="8"/>
    </row>
    <row r="2162" spans="6:6" x14ac:dyDescent="0.25">
      <c r="F2162" s="8"/>
    </row>
    <row r="2163" spans="6:6" x14ac:dyDescent="0.25">
      <c r="F2163" s="8"/>
    </row>
    <row r="2164" spans="6:6" x14ac:dyDescent="0.25">
      <c r="F2164" s="8"/>
    </row>
    <row r="2165" spans="6:6" x14ac:dyDescent="0.25">
      <c r="F2165" s="8"/>
    </row>
    <row r="2166" spans="6:6" x14ac:dyDescent="0.25">
      <c r="F2166" s="8"/>
    </row>
    <row r="2167" spans="6:6" x14ac:dyDescent="0.25">
      <c r="F2167" s="8"/>
    </row>
    <row r="2168" spans="6:6" x14ac:dyDescent="0.25">
      <c r="F2168" s="8"/>
    </row>
    <row r="2169" spans="6:6" x14ac:dyDescent="0.25">
      <c r="F2169" s="8"/>
    </row>
    <row r="2170" spans="6:6" x14ac:dyDescent="0.25">
      <c r="F2170" s="8"/>
    </row>
    <row r="2171" spans="6:6" x14ac:dyDescent="0.25">
      <c r="F2171" s="8"/>
    </row>
    <row r="2172" spans="6:6" x14ac:dyDescent="0.25">
      <c r="F2172" s="8"/>
    </row>
    <row r="2173" spans="6:6" x14ac:dyDescent="0.25">
      <c r="F2173" s="8"/>
    </row>
    <row r="2174" spans="6:6" x14ac:dyDescent="0.25">
      <c r="F2174" s="8"/>
    </row>
    <row r="2175" spans="6:6" x14ac:dyDescent="0.25">
      <c r="F2175" s="8"/>
    </row>
    <row r="2176" spans="6:6" x14ac:dyDescent="0.25">
      <c r="F2176" s="8"/>
    </row>
    <row r="2177" spans="6:6" x14ac:dyDescent="0.25">
      <c r="F2177" s="8"/>
    </row>
    <row r="2178" spans="6:6" x14ac:dyDescent="0.25">
      <c r="F2178" s="8"/>
    </row>
    <row r="2179" spans="6:6" x14ac:dyDescent="0.25">
      <c r="F2179" s="8"/>
    </row>
    <row r="2180" spans="6:6" x14ac:dyDescent="0.25">
      <c r="F2180" s="8"/>
    </row>
    <row r="2181" spans="6:6" x14ac:dyDescent="0.25">
      <c r="F2181" s="8"/>
    </row>
    <row r="2182" spans="6:6" x14ac:dyDescent="0.25">
      <c r="F2182" s="8"/>
    </row>
    <row r="2183" spans="6:6" x14ac:dyDescent="0.25">
      <c r="F2183" s="8"/>
    </row>
    <row r="2184" spans="6:6" x14ac:dyDescent="0.25">
      <c r="F2184" s="8"/>
    </row>
    <row r="2185" spans="6:6" x14ac:dyDescent="0.25">
      <c r="F2185" s="8"/>
    </row>
    <row r="2186" spans="6:6" x14ac:dyDescent="0.25">
      <c r="F2186" s="8"/>
    </row>
    <row r="2187" spans="6:6" x14ac:dyDescent="0.25">
      <c r="F2187" s="8"/>
    </row>
    <row r="2188" spans="6:6" x14ac:dyDescent="0.25">
      <c r="F2188" s="8"/>
    </row>
    <row r="2189" spans="6:6" x14ac:dyDescent="0.25">
      <c r="F2189" s="8"/>
    </row>
    <row r="2190" spans="6:6" x14ac:dyDescent="0.25">
      <c r="F2190" s="8"/>
    </row>
    <row r="2191" spans="6:6" x14ac:dyDescent="0.25">
      <c r="F2191" s="8"/>
    </row>
    <row r="2192" spans="6:6" x14ac:dyDescent="0.25">
      <c r="F2192" s="8"/>
    </row>
    <row r="2193" spans="6:6" x14ac:dyDescent="0.25">
      <c r="F2193" s="8"/>
    </row>
    <row r="2194" spans="6:6" x14ac:dyDescent="0.25">
      <c r="F2194" s="8"/>
    </row>
    <row r="2195" spans="6:6" x14ac:dyDescent="0.25">
      <c r="F2195" s="8"/>
    </row>
    <row r="2196" spans="6:6" x14ac:dyDescent="0.25">
      <c r="F2196" s="8"/>
    </row>
    <row r="2197" spans="6:6" x14ac:dyDescent="0.25">
      <c r="F2197" s="8"/>
    </row>
    <row r="2198" spans="6:6" x14ac:dyDescent="0.25">
      <c r="F2198" s="8"/>
    </row>
    <row r="2199" spans="6:6" x14ac:dyDescent="0.25">
      <c r="F2199" s="8"/>
    </row>
    <row r="2200" spans="6:6" x14ac:dyDescent="0.25">
      <c r="F2200" s="8"/>
    </row>
    <row r="2201" spans="6:6" x14ac:dyDescent="0.25">
      <c r="F2201" s="8"/>
    </row>
    <row r="2202" spans="6:6" x14ac:dyDescent="0.25">
      <c r="F2202" s="8"/>
    </row>
    <row r="2203" spans="6:6" x14ac:dyDescent="0.25">
      <c r="F2203" s="8"/>
    </row>
    <row r="2204" spans="6:6" x14ac:dyDescent="0.25">
      <c r="F2204" s="8"/>
    </row>
    <row r="2205" spans="6:6" x14ac:dyDescent="0.25">
      <c r="F2205" s="8"/>
    </row>
    <row r="2206" spans="6:6" x14ac:dyDescent="0.25">
      <c r="F2206" s="8"/>
    </row>
    <row r="2207" spans="6:6" x14ac:dyDescent="0.25">
      <c r="F2207" s="8"/>
    </row>
    <row r="2208" spans="6:6" x14ac:dyDescent="0.25">
      <c r="F2208" s="8"/>
    </row>
    <row r="2209" spans="6:6" x14ac:dyDescent="0.25">
      <c r="F2209" s="8"/>
    </row>
    <row r="2210" spans="6:6" x14ac:dyDescent="0.25">
      <c r="F2210" s="8"/>
    </row>
    <row r="2211" spans="6:6" x14ac:dyDescent="0.25">
      <c r="F2211" s="8"/>
    </row>
    <row r="2212" spans="6:6" x14ac:dyDescent="0.25">
      <c r="F2212" s="8"/>
    </row>
    <row r="2213" spans="6:6" x14ac:dyDescent="0.25">
      <c r="F2213" s="8"/>
    </row>
    <row r="2214" spans="6:6" x14ac:dyDescent="0.25">
      <c r="F2214" s="8"/>
    </row>
    <row r="2215" spans="6:6" x14ac:dyDescent="0.25">
      <c r="F2215" s="8"/>
    </row>
    <row r="2216" spans="6:6" x14ac:dyDescent="0.25">
      <c r="F2216" s="8"/>
    </row>
    <row r="2217" spans="6:6" x14ac:dyDescent="0.25">
      <c r="F2217" s="8"/>
    </row>
    <row r="2218" spans="6:6" x14ac:dyDescent="0.25">
      <c r="F2218" s="8"/>
    </row>
    <row r="2219" spans="6:6" x14ac:dyDescent="0.25">
      <c r="F2219" s="8"/>
    </row>
    <row r="2220" spans="6:6" x14ac:dyDescent="0.25">
      <c r="F2220" s="8"/>
    </row>
    <row r="2221" spans="6:6" x14ac:dyDescent="0.25">
      <c r="F2221" s="8"/>
    </row>
    <row r="2222" spans="6:6" x14ac:dyDescent="0.25">
      <c r="F2222" s="8"/>
    </row>
    <row r="2223" spans="6:6" x14ac:dyDescent="0.25">
      <c r="F2223" s="8"/>
    </row>
    <row r="2224" spans="6:6" x14ac:dyDescent="0.25">
      <c r="F2224" s="8"/>
    </row>
    <row r="2225" spans="6:6" x14ac:dyDescent="0.25">
      <c r="F2225" s="8"/>
    </row>
    <row r="2226" spans="6:6" x14ac:dyDescent="0.25">
      <c r="F2226" s="8"/>
    </row>
    <row r="2227" spans="6:6" x14ac:dyDescent="0.25">
      <c r="F2227" s="8"/>
    </row>
    <row r="2228" spans="6:6" x14ac:dyDescent="0.25">
      <c r="F2228" s="8"/>
    </row>
    <row r="2229" spans="6:6" x14ac:dyDescent="0.25">
      <c r="F2229" s="8"/>
    </row>
    <row r="2230" spans="6:6" x14ac:dyDescent="0.25">
      <c r="F2230" s="8"/>
    </row>
    <row r="2231" spans="6:6" x14ac:dyDescent="0.25">
      <c r="F2231" s="8"/>
    </row>
    <row r="2232" spans="6:6" x14ac:dyDescent="0.25">
      <c r="F2232" s="8"/>
    </row>
    <row r="2233" spans="6:6" x14ac:dyDescent="0.25">
      <c r="F2233" s="8"/>
    </row>
    <row r="2234" spans="6:6" x14ac:dyDescent="0.25">
      <c r="F2234" s="8"/>
    </row>
    <row r="2235" spans="6:6" x14ac:dyDescent="0.25">
      <c r="F2235" s="8"/>
    </row>
    <row r="2236" spans="6:6" x14ac:dyDescent="0.25">
      <c r="F2236" s="8"/>
    </row>
    <row r="2237" spans="6:6" x14ac:dyDescent="0.25">
      <c r="F2237" s="8"/>
    </row>
    <row r="2238" spans="6:6" x14ac:dyDescent="0.25">
      <c r="F2238" s="8"/>
    </row>
    <row r="2239" spans="6:6" x14ac:dyDescent="0.25">
      <c r="F2239" s="8"/>
    </row>
    <row r="2240" spans="6:6" x14ac:dyDescent="0.25">
      <c r="F2240" s="8"/>
    </row>
    <row r="2241" spans="6:6" x14ac:dyDescent="0.25">
      <c r="F2241" s="8"/>
    </row>
    <row r="2242" spans="6:6" x14ac:dyDescent="0.25">
      <c r="F2242" s="8"/>
    </row>
    <row r="2243" spans="6:6" x14ac:dyDescent="0.25">
      <c r="F2243" s="8"/>
    </row>
    <row r="2244" spans="6:6" x14ac:dyDescent="0.25">
      <c r="F2244" s="8"/>
    </row>
    <row r="2245" spans="6:6" x14ac:dyDescent="0.25">
      <c r="F2245" s="8"/>
    </row>
    <row r="2246" spans="6:6" x14ac:dyDescent="0.25">
      <c r="F2246" s="8"/>
    </row>
    <row r="2247" spans="6:6" x14ac:dyDescent="0.25">
      <c r="F2247" s="8"/>
    </row>
    <row r="2248" spans="6:6" x14ac:dyDescent="0.25">
      <c r="F2248" s="8"/>
    </row>
    <row r="2249" spans="6:6" x14ac:dyDescent="0.25">
      <c r="F2249" s="8"/>
    </row>
    <row r="2250" spans="6:6" x14ac:dyDescent="0.25">
      <c r="F2250" s="8"/>
    </row>
    <row r="2251" spans="6:6" x14ac:dyDescent="0.25">
      <c r="F2251" s="8"/>
    </row>
    <row r="2252" spans="6:6" x14ac:dyDescent="0.25">
      <c r="F2252" s="8"/>
    </row>
    <row r="2253" spans="6:6" x14ac:dyDescent="0.25">
      <c r="F2253" s="8"/>
    </row>
    <row r="2254" spans="6:6" x14ac:dyDescent="0.25">
      <c r="F2254" s="8"/>
    </row>
    <row r="2255" spans="6:6" x14ac:dyDescent="0.25">
      <c r="F2255" s="8"/>
    </row>
    <row r="2256" spans="6:6" x14ac:dyDescent="0.25">
      <c r="F2256" s="8"/>
    </row>
    <row r="2257" spans="6:6" x14ac:dyDescent="0.25">
      <c r="F2257" s="8"/>
    </row>
    <row r="2258" spans="6:6" x14ac:dyDescent="0.25">
      <c r="F2258" s="8"/>
    </row>
    <row r="2259" spans="6:6" x14ac:dyDescent="0.25">
      <c r="F2259" s="8"/>
    </row>
    <row r="2260" spans="6:6" x14ac:dyDescent="0.25">
      <c r="F2260" s="8"/>
    </row>
    <row r="2261" spans="6:6" x14ac:dyDescent="0.25">
      <c r="F2261" s="8"/>
    </row>
    <row r="2262" spans="6:6" x14ac:dyDescent="0.25">
      <c r="F2262" s="8"/>
    </row>
    <row r="2263" spans="6:6" x14ac:dyDescent="0.25">
      <c r="F2263" s="8"/>
    </row>
    <row r="2264" spans="6:6" x14ac:dyDescent="0.25">
      <c r="F2264" s="8"/>
    </row>
    <row r="2265" spans="6:6" x14ac:dyDescent="0.25">
      <c r="F2265" s="8"/>
    </row>
    <row r="2266" spans="6:6" x14ac:dyDescent="0.25">
      <c r="F2266" s="8"/>
    </row>
    <row r="2267" spans="6:6" x14ac:dyDescent="0.25">
      <c r="F2267" s="8"/>
    </row>
    <row r="2268" spans="6:6" x14ac:dyDescent="0.25">
      <c r="F2268" s="8"/>
    </row>
    <row r="2269" spans="6:6" x14ac:dyDescent="0.25">
      <c r="F2269" s="8"/>
    </row>
    <row r="2270" spans="6:6" x14ac:dyDescent="0.25">
      <c r="F2270" s="8"/>
    </row>
    <row r="2271" spans="6:6" x14ac:dyDescent="0.25">
      <c r="F2271" s="8"/>
    </row>
    <row r="2272" spans="6:6" x14ac:dyDescent="0.25">
      <c r="F2272" s="8"/>
    </row>
    <row r="2273" spans="6:6" x14ac:dyDescent="0.25">
      <c r="F2273" s="8"/>
    </row>
    <row r="2274" spans="6:6" x14ac:dyDescent="0.25">
      <c r="F2274" s="8"/>
    </row>
    <row r="2275" spans="6:6" x14ac:dyDescent="0.25">
      <c r="F2275" s="8"/>
    </row>
    <row r="2276" spans="6:6" x14ac:dyDescent="0.25">
      <c r="F2276" s="8"/>
    </row>
    <row r="2277" spans="6:6" x14ac:dyDescent="0.25">
      <c r="F2277" s="8"/>
    </row>
    <row r="2278" spans="6:6" x14ac:dyDescent="0.25">
      <c r="F2278" s="8"/>
    </row>
    <row r="2279" spans="6:6" x14ac:dyDescent="0.25">
      <c r="F2279" s="8"/>
    </row>
    <row r="2280" spans="6:6" x14ac:dyDescent="0.25">
      <c r="F2280" s="8"/>
    </row>
    <row r="2281" spans="6:6" x14ac:dyDescent="0.25">
      <c r="F2281" s="8"/>
    </row>
    <row r="2282" spans="6:6" x14ac:dyDescent="0.25">
      <c r="F2282" s="8"/>
    </row>
    <row r="2283" spans="6:6" x14ac:dyDescent="0.25">
      <c r="F2283" s="8"/>
    </row>
    <row r="2284" spans="6:6" x14ac:dyDescent="0.25">
      <c r="F2284" s="8"/>
    </row>
    <row r="2285" spans="6:6" x14ac:dyDescent="0.25">
      <c r="F2285" s="8"/>
    </row>
    <row r="2286" spans="6:6" x14ac:dyDescent="0.25">
      <c r="F2286" s="8"/>
    </row>
    <row r="2287" spans="6:6" x14ac:dyDescent="0.25">
      <c r="F2287" s="8"/>
    </row>
    <row r="2288" spans="6:6" x14ac:dyDescent="0.25">
      <c r="F2288" s="8"/>
    </row>
    <row r="2289" spans="6:6" x14ac:dyDescent="0.25">
      <c r="F2289" s="8"/>
    </row>
    <row r="2290" spans="6:6" x14ac:dyDescent="0.25">
      <c r="F2290" s="8"/>
    </row>
    <row r="2291" spans="6:6" x14ac:dyDescent="0.25">
      <c r="F2291" s="8"/>
    </row>
    <row r="2292" spans="6:6" x14ac:dyDescent="0.25">
      <c r="F2292" s="8"/>
    </row>
    <row r="2293" spans="6:6" x14ac:dyDescent="0.25">
      <c r="F2293" s="8"/>
    </row>
    <row r="2294" spans="6:6" x14ac:dyDescent="0.25">
      <c r="F2294" s="8"/>
    </row>
    <row r="2295" spans="6:6" x14ac:dyDescent="0.25">
      <c r="F2295" s="8"/>
    </row>
    <row r="2296" spans="6:6" x14ac:dyDescent="0.25">
      <c r="F2296" s="8"/>
    </row>
    <row r="2297" spans="6:6" x14ac:dyDescent="0.25">
      <c r="F2297" s="8"/>
    </row>
    <row r="2298" spans="6:6" x14ac:dyDescent="0.25">
      <c r="F2298" s="8"/>
    </row>
    <row r="2299" spans="6:6" x14ac:dyDescent="0.25">
      <c r="F2299" s="8"/>
    </row>
    <row r="2300" spans="6:6" x14ac:dyDescent="0.25">
      <c r="F2300" s="8"/>
    </row>
    <row r="2301" spans="6:6" x14ac:dyDescent="0.25">
      <c r="F2301" s="8"/>
    </row>
    <row r="2302" spans="6:6" x14ac:dyDescent="0.25">
      <c r="F2302" s="8"/>
    </row>
    <row r="2303" spans="6:6" x14ac:dyDescent="0.25">
      <c r="F2303" s="8"/>
    </row>
    <row r="2304" spans="6:6" x14ac:dyDescent="0.25">
      <c r="F2304" s="8"/>
    </row>
    <row r="2305" spans="6:6" x14ac:dyDescent="0.25">
      <c r="F2305" s="8"/>
    </row>
    <row r="2306" spans="6:6" x14ac:dyDescent="0.25">
      <c r="F2306" s="8"/>
    </row>
    <row r="2307" spans="6:6" x14ac:dyDescent="0.25">
      <c r="F2307" s="8"/>
    </row>
    <row r="2308" spans="6:6" x14ac:dyDescent="0.25">
      <c r="F2308" s="8"/>
    </row>
    <row r="2309" spans="6:6" x14ac:dyDescent="0.25">
      <c r="F2309" s="8"/>
    </row>
    <row r="2310" spans="6:6" x14ac:dyDescent="0.25">
      <c r="F2310" s="8"/>
    </row>
    <row r="2311" spans="6:6" x14ac:dyDescent="0.25">
      <c r="F2311" s="8"/>
    </row>
    <row r="2312" spans="6:6" x14ac:dyDescent="0.25">
      <c r="F2312" s="8"/>
    </row>
    <row r="2313" spans="6:6" x14ac:dyDescent="0.25">
      <c r="F2313" s="8"/>
    </row>
    <row r="2314" spans="6:6" x14ac:dyDescent="0.25">
      <c r="F2314" s="8"/>
    </row>
    <row r="2315" spans="6:6" x14ac:dyDescent="0.25">
      <c r="F2315" s="8"/>
    </row>
    <row r="2316" spans="6:6" x14ac:dyDescent="0.25">
      <c r="F2316" s="8"/>
    </row>
    <row r="2317" spans="6:6" x14ac:dyDescent="0.25">
      <c r="F2317" s="8"/>
    </row>
    <row r="2318" spans="6:6" x14ac:dyDescent="0.25">
      <c r="F2318" s="8"/>
    </row>
    <row r="2319" spans="6:6" x14ac:dyDescent="0.25">
      <c r="F2319" s="8"/>
    </row>
    <row r="2320" spans="6:6" x14ac:dyDescent="0.25">
      <c r="F2320" s="8"/>
    </row>
    <row r="2321" spans="6:6" x14ac:dyDescent="0.25">
      <c r="F2321" s="8"/>
    </row>
    <row r="2322" spans="6:6" x14ac:dyDescent="0.25">
      <c r="F2322" s="8"/>
    </row>
    <row r="2323" spans="6:6" x14ac:dyDescent="0.25">
      <c r="F2323" s="8"/>
    </row>
    <row r="2324" spans="6:6" x14ac:dyDescent="0.25">
      <c r="F2324" s="8"/>
    </row>
    <row r="2325" spans="6:6" x14ac:dyDescent="0.25">
      <c r="F2325" s="8"/>
    </row>
    <row r="2326" spans="6:6" x14ac:dyDescent="0.25">
      <c r="F2326" s="8"/>
    </row>
    <row r="2327" spans="6:6" x14ac:dyDescent="0.25">
      <c r="F2327" s="8"/>
    </row>
    <row r="2328" spans="6:6" x14ac:dyDescent="0.25">
      <c r="F2328" s="8"/>
    </row>
    <row r="2329" spans="6:6" x14ac:dyDescent="0.25">
      <c r="F2329" s="8"/>
    </row>
    <row r="2330" spans="6:6" x14ac:dyDescent="0.25">
      <c r="F2330" s="8"/>
    </row>
    <row r="2331" spans="6:6" x14ac:dyDescent="0.25">
      <c r="F2331" s="8"/>
    </row>
    <row r="2332" spans="6:6" x14ac:dyDescent="0.25">
      <c r="F2332" s="8"/>
    </row>
    <row r="2333" spans="6:6" x14ac:dyDescent="0.25">
      <c r="F2333" s="8"/>
    </row>
    <row r="2334" spans="6:6" x14ac:dyDescent="0.25">
      <c r="F2334" s="8"/>
    </row>
    <row r="2335" spans="6:6" x14ac:dyDescent="0.25">
      <c r="F2335" s="8"/>
    </row>
    <row r="2336" spans="6:6" x14ac:dyDescent="0.25">
      <c r="F2336" s="8"/>
    </row>
    <row r="2337" spans="6:6" x14ac:dyDescent="0.25">
      <c r="F2337" s="8"/>
    </row>
    <row r="2338" spans="6:6" x14ac:dyDescent="0.25">
      <c r="F2338" s="8"/>
    </row>
    <row r="2339" spans="6:6" x14ac:dyDescent="0.25">
      <c r="F2339" s="8"/>
    </row>
    <row r="2340" spans="6:6" x14ac:dyDescent="0.25">
      <c r="F2340" s="8"/>
    </row>
    <row r="2341" spans="6:6" x14ac:dyDescent="0.25">
      <c r="F2341" s="8"/>
    </row>
    <row r="2342" spans="6:6" x14ac:dyDescent="0.25">
      <c r="F2342" s="8"/>
    </row>
    <row r="2343" spans="6:6" x14ac:dyDescent="0.25">
      <c r="F2343" s="8"/>
    </row>
    <row r="2344" spans="6:6" x14ac:dyDescent="0.25">
      <c r="F2344" s="8"/>
    </row>
    <row r="2345" spans="6:6" x14ac:dyDescent="0.25">
      <c r="F2345" s="8"/>
    </row>
    <row r="2346" spans="6:6" x14ac:dyDescent="0.25">
      <c r="F2346" s="8"/>
    </row>
    <row r="2347" spans="6:6" x14ac:dyDescent="0.25">
      <c r="F2347" s="8"/>
    </row>
    <row r="2348" spans="6:6" x14ac:dyDescent="0.25">
      <c r="F2348" s="8"/>
    </row>
    <row r="2349" spans="6:6" x14ac:dyDescent="0.25">
      <c r="F2349" s="8"/>
    </row>
    <row r="2350" spans="6:6" x14ac:dyDescent="0.25">
      <c r="F2350" s="8"/>
    </row>
    <row r="2351" spans="6:6" x14ac:dyDescent="0.25">
      <c r="F2351" s="8"/>
    </row>
    <row r="2352" spans="6:6" x14ac:dyDescent="0.25">
      <c r="F2352" s="8"/>
    </row>
    <row r="2353" spans="6:6" x14ac:dyDescent="0.25">
      <c r="F2353" s="8"/>
    </row>
    <row r="2354" spans="6:6" x14ac:dyDescent="0.25">
      <c r="F2354" s="8"/>
    </row>
    <row r="2355" spans="6:6" x14ac:dyDescent="0.25">
      <c r="F2355" s="8"/>
    </row>
    <row r="2356" spans="6:6" x14ac:dyDescent="0.25">
      <c r="F2356" s="8"/>
    </row>
    <row r="2357" spans="6:6" x14ac:dyDescent="0.25">
      <c r="F2357" s="8"/>
    </row>
    <row r="2358" spans="6:6" x14ac:dyDescent="0.25">
      <c r="F2358" s="8"/>
    </row>
    <row r="2359" spans="6:6" x14ac:dyDescent="0.25">
      <c r="F2359" s="8"/>
    </row>
    <row r="2360" spans="6:6" x14ac:dyDescent="0.25">
      <c r="F2360" s="8"/>
    </row>
    <row r="2361" spans="6:6" x14ac:dyDescent="0.25">
      <c r="F2361" s="8"/>
    </row>
    <row r="2362" spans="6:6" x14ac:dyDescent="0.25">
      <c r="F2362" s="8"/>
    </row>
    <row r="2363" spans="6:6" x14ac:dyDescent="0.25">
      <c r="F2363" s="8"/>
    </row>
    <row r="2364" spans="6:6" x14ac:dyDescent="0.25">
      <c r="F2364" s="8"/>
    </row>
    <row r="2365" spans="6:6" x14ac:dyDescent="0.25">
      <c r="F2365" s="8"/>
    </row>
    <row r="2366" spans="6:6" x14ac:dyDescent="0.25">
      <c r="F2366" s="8"/>
    </row>
    <row r="2367" spans="6:6" x14ac:dyDescent="0.25">
      <c r="F2367" s="8"/>
    </row>
    <row r="2368" spans="6:6" x14ac:dyDescent="0.25">
      <c r="F2368" s="8"/>
    </row>
    <row r="2369" spans="6:6" x14ac:dyDescent="0.25">
      <c r="F2369" s="8"/>
    </row>
    <row r="2370" spans="6:6" x14ac:dyDescent="0.25">
      <c r="F2370" s="8"/>
    </row>
    <row r="2371" spans="6:6" x14ac:dyDescent="0.25">
      <c r="F2371" s="8"/>
    </row>
    <row r="2372" spans="6:6" x14ac:dyDescent="0.25">
      <c r="F2372" s="8"/>
    </row>
    <row r="2373" spans="6:6" x14ac:dyDescent="0.25">
      <c r="F2373" s="8"/>
    </row>
    <row r="2374" spans="6:6" x14ac:dyDescent="0.25">
      <c r="F2374" s="8"/>
    </row>
    <row r="2375" spans="6:6" x14ac:dyDescent="0.25">
      <c r="F2375" s="8"/>
    </row>
    <row r="2376" spans="6:6" x14ac:dyDescent="0.25">
      <c r="F2376" s="8"/>
    </row>
    <row r="2377" spans="6:6" x14ac:dyDescent="0.25">
      <c r="F2377" s="8"/>
    </row>
    <row r="2378" spans="6:6" x14ac:dyDescent="0.25">
      <c r="F2378" s="8"/>
    </row>
    <row r="2379" spans="6:6" x14ac:dyDescent="0.25">
      <c r="F2379" s="8"/>
    </row>
    <row r="2380" spans="6:6" x14ac:dyDescent="0.25">
      <c r="F2380" s="8"/>
    </row>
    <row r="2381" spans="6:6" x14ac:dyDescent="0.25">
      <c r="F2381" s="8"/>
    </row>
    <row r="2382" spans="6:6" x14ac:dyDescent="0.25">
      <c r="F2382" s="8"/>
    </row>
    <row r="2383" spans="6:6" x14ac:dyDescent="0.25">
      <c r="F2383" s="8"/>
    </row>
    <row r="2384" spans="6:6" x14ac:dyDescent="0.25">
      <c r="F2384" s="8"/>
    </row>
    <row r="2385" spans="6:6" x14ac:dyDescent="0.25">
      <c r="F2385" s="8"/>
    </row>
    <row r="2386" spans="6:6" x14ac:dyDescent="0.25">
      <c r="F2386" s="8"/>
    </row>
    <row r="2387" spans="6:6" x14ac:dyDescent="0.25">
      <c r="F2387" s="8"/>
    </row>
    <row r="2388" spans="6:6" x14ac:dyDescent="0.25">
      <c r="F2388" s="8"/>
    </row>
    <row r="2389" spans="6:6" x14ac:dyDescent="0.25">
      <c r="F2389" s="8"/>
    </row>
    <row r="2390" spans="6:6" x14ac:dyDescent="0.25">
      <c r="F2390" s="8"/>
    </row>
    <row r="2391" spans="6:6" x14ac:dyDescent="0.25">
      <c r="F2391" s="8"/>
    </row>
    <row r="2392" spans="6:6" x14ac:dyDescent="0.25">
      <c r="F2392" s="8"/>
    </row>
    <row r="2393" spans="6:6" x14ac:dyDescent="0.25">
      <c r="F2393" s="8"/>
    </row>
    <row r="2394" spans="6:6" x14ac:dyDescent="0.25">
      <c r="F2394" s="8"/>
    </row>
    <row r="2395" spans="6:6" x14ac:dyDescent="0.25">
      <c r="F2395" s="8"/>
    </row>
    <row r="2396" spans="6:6" x14ac:dyDescent="0.25">
      <c r="F2396" s="8"/>
    </row>
    <row r="2397" spans="6:6" x14ac:dyDescent="0.25">
      <c r="F2397" s="8"/>
    </row>
    <row r="2398" spans="6:6" x14ac:dyDescent="0.25">
      <c r="F2398" s="8"/>
    </row>
    <row r="2399" spans="6:6" x14ac:dyDescent="0.25">
      <c r="F2399" s="8"/>
    </row>
    <row r="2400" spans="6:6" x14ac:dyDescent="0.25">
      <c r="F2400" s="8"/>
    </row>
    <row r="2401" spans="6:6" x14ac:dyDescent="0.25">
      <c r="F2401" s="8"/>
    </row>
    <row r="2402" spans="6:6" x14ac:dyDescent="0.25">
      <c r="F2402" s="8"/>
    </row>
    <row r="2403" spans="6:6" x14ac:dyDescent="0.25">
      <c r="F2403" s="8"/>
    </row>
    <row r="2404" spans="6:6" x14ac:dyDescent="0.25">
      <c r="F2404" s="8"/>
    </row>
    <row r="2405" spans="6:6" x14ac:dyDescent="0.25">
      <c r="F2405" s="8"/>
    </row>
    <row r="2406" spans="6:6" x14ac:dyDescent="0.25">
      <c r="F2406" s="8"/>
    </row>
    <row r="2407" spans="6:6" x14ac:dyDescent="0.25">
      <c r="F2407" s="8"/>
    </row>
    <row r="2408" spans="6:6" x14ac:dyDescent="0.25">
      <c r="F2408" s="8"/>
    </row>
    <row r="2409" spans="6:6" x14ac:dyDescent="0.25">
      <c r="F2409" s="8"/>
    </row>
    <row r="2410" spans="6:6" x14ac:dyDescent="0.25">
      <c r="F2410" s="8"/>
    </row>
    <row r="2411" spans="6:6" x14ac:dyDescent="0.25">
      <c r="F2411" s="8"/>
    </row>
    <row r="2412" spans="6:6" x14ac:dyDescent="0.25">
      <c r="F2412" s="8"/>
    </row>
    <row r="2413" spans="6:6" x14ac:dyDescent="0.25">
      <c r="F2413" s="8"/>
    </row>
    <row r="2414" spans="6:6" x14ac:dyDescent="0.25">
      <c r="F2414" s="8"/>
    </row>
    <row r="2415" spans="6:6" x14ac:dyDescent="0.25">
      <c r="F2415" s="8"/>
    </row>
    <row r="2416" spans="6:6" x14ac:dyDescent="0.25">
      <c r="F2416" s="8"/>
    </row>
    <row r="2417" spans="6:6" x14ac:dyDescent="0.25">
      <c r="F2417" s="8"/>
    </row>
    <row r="2418" spans="6:6" x14ac:dyDescent="0.25">
      <c r="F2418" s="8"/>
    </row>
    <row r="2419" spans="6:6" x14ac:dyDescent="0.25">
      <c r="F2419" s="8"/>
    </row>
    <row r="2420" spans="6:6" x14ac:dyDescent="0.25">
      <c r="F2420" s="8"/>
    </row>
    <row r="2421" spans="6:6" x14ac:dyDescent="0.25">
      <c r="F2421" s="8"/>
    </row>
    <row r="2422" spans="6:6" x14ac:dyDescent="0.25">
      <c r="F2422" s="8"/>
    </row>
    <row r="2423" spans="6:6" x14ac:dyDescent="0.25">
      <c r="F2423" s="8"/>
    </row>
    <row r="2424" spans="6:6" x14ac:dyDescent="0.25">
      <c r="F2424" s="8"/>
    </row>
    <row r="2425" spans="6:6" x14ac:dyDescent="0.25">
      <c r="F2425" s="8"/>
    </row>
    <row r="2426" spans="6:6" x14ac:dyDescent="0.25">
      <c r="F2426" s="8"/>
    </row>
    <row r="2427" spans="6:6" x14ac:dyDescent="0.25">
      <c r="F2427" s="8"/>
    </row>
    <row r="2428" spans="6:6" x14ac:dyDescent="0.25">
      <c r="F2428" s="8"/>
    </row>
    <row r="2429" spans="6:6" x14ac:dyDescent="0.25">
      <c r="F2429" s="8"/>
    </row>
    <row r="2430" spans="6:6" x14ac:dyDescent="0.25">
      <c r="F2430" s="8"/>
    </row>
    <row r="2431" spans="6:6" x14ac:dyDescent="0.25">
      <c r="F2431" s="8"/>
    </row>
    <row r="2432" spans="6:6" x14ac:dyDescent="0.25">
      <c r="F2432" s="8"/>
    </row>
    <row r="2433" spans="6:6" x14ac:dyDescent="0.25">
      <c r="F2433" s="8"/>
    </row>
    <row r="2434" spans="6:6" x14ac:dyDescent="0.25">
      <c r="F2434" s="8"/>
    </row>
    <row r="2435" spans="6:6" x14ac:dyDescent="0.25">
      <c r="F2435" s="8"/>
    </row>
    <row r="2436" spans="6:6" x14ac:dyDescent="0.25">
      <c r="F2436" s="8"/>
    </row>
    <row r="2437" spans="6:6" x14ac:dyDescent="0.25">
      <c r="F2437" s="8"/>
    </row>
    <row r="2438" spans="6:6" x14ac:dyDescent="0.25">
      <c r="F2438" s="8"/>
    </row>
    <row r="2439" spans="6:6" x14ac:dyDescent="0.25">
      <c r="F2439" s="8"/>
    </row>
    <row r="2440" spans="6:6" x14ac:dyDescent="0.25">
      <c r="F2440" s="8"/>
    </row>
    <row r="2441" spans="6:6" x14ac:dyDescent="0.25">
      <c r="F2441" s="8"/>
    </row>
    <row r="2442" spans="6:6" x14ac:dyDescent="0.25">
      <c r="F2442" s="8"/>
    </row>
    <row r="2443" spans="6:6" x14ac:dyDescent="0.25">
      <c r="F2443" s="8"/>
    </row>
    <row r="2444" spans="6:6" x14ac:dyDescent="0.25">
      <c r="F2444" s="8"/>
    </row>
    <row r="2445" spans="6:6" x14ac:dyDescent="0.25">
      <c r="F2445" s="8"/>
    </row>
    <row r="2446" spans="6:6" x14ac:dyDescent="0.25">
      <c r="F2446" s="8"/>
    </row>
    <row r="2447" spans="6:6" x14ac:dyDescent="0.25">
      <c r="F2447" s="8"/>
    </row>
    <row r="2448" spans="6:6" x14ac:dyDescent="0.25">
      <c r="F2448" s="8"/>
    </row>
    <row r="2449" spans="6:6" x14ac:dyDescent="0.25">
      <c r="F2449" s="8"/>
    </row>
    <row r="2450" spans="6:6" x14ac:dyDescent="0.25">
      <c r="F2450" s="8"/>
    </row>
    <row r="2451" spans="6:6" x14ac:dyDescent="0.25">
      <c r="F2451" s="8"/>
    </row>
    <row r="2452" spans="6:6" x14ac:dyDescent="0.25">
      <c r="F2452" s="8"/>
    </row>
    <row r="2453" spans="6:6" x14ac:dyDescent="0.25">
      <c r="F2453" s="8"/>
    </row>
    <row r="2454" spans="6:6" x14ac:dyDescent="0.25">
      <c r="F2454" s="8"/>
    </row>
    <row r="2455" spans="6:6" x14ac:dyDescent="0.25">
      <c r="F2455" s="8"/>
    </row>
    <row r="2456" spans="6:6" x14ac:dyDescent="0.25">
      <c r="F2456" s="8"/>
    </row>
    <row r="2457" spans="6:6" x14ac:dyDescent="0.25">
      <c r="F2457" s="8"/>
    </row>
    <row r="2458" spans="6:6" x14ac:dyDescent="0.25">
      <c r="F2458" s="8"/>
    </row>
    <row r="2459" spans="6:6" x14ac:dyDescent="0.25">
      <c r="F2459" s="8"/>
    </row>
    <row r="2460" spans="6:6" x14ac:dyDescent="0.25">
      <c r="F2460" s="8"/>
    </row>
    <row r="2461" spans="6:6" x14ac:dyDescent="0.25">
      <c r="F2461" s="8"/>
    </row>
    <row r="2462" spans="6:6" x14ac:dyDescent="0.25">
      <c r="F2462" s="8"/>
    </row>
    <row r="2476" spans="6:10" x14ac:dyDescent="0.25">
      <c r="F2476" s="8"/>
      <c r="J2476" s="8"/>
    </row>
    <row r="2477" spans="6:10" x14ac:dyDescent="0.25">
      <c r="F2477" s="8"/>
      <c r="J2477" s="8"/>
    </row>
    <row r="2478" spans="6:10" x14ac:dyDescent="0.25">
      <c r="F2478" s="8"/>
      <c r="J2478" s="8"/>
    </row>
    <row r="2479" spans="6:10" x14ac:dyDescent="0.25">
      <c r="F2479" s="8"/>
      <c r="J2479" s="8"/>
    </row>
    <row r="2480" spans="6:10" x14ac:dyDescent="0.25">
      <c r="F2480" s="8"/>
      <c r="J2480" s="8"/>
    </row>
    <row r="2481" spans="6:10" x14ac:dyDescent="0.25">
      <c r="F2481" s="8"/>
      <c r="J2481" s="8"/>
    </row>
    <row r="2482" spans="6:10" x14ac:dyDescent="0.25">
      <c r="F2482" s="8"/>
      <c r="J2482" s="8"/>
    </row>
    <row r="2483" spans="6:10" x14ac:dyDescent="0.25">
      <c r="F2483" s="8"/>
      <c r="J2483" s="8"/>
    </row>
    <row r="2484" spans="6:10" x14ac:dyDescent="0.25">
      <c r="F2484" s="8"/>
      <c r="J2484" s="8"/>
    </row>
    <row r="2485" spans="6:10" x14ac:dyDescent="0.25">
      <c r="F2485" s="8"/>
      <c r="J2485" s="8"/>
    </row>
    <row r="2486" spans="6:10" x14ac:dyDescent="0.25">
      <c r="F2486" s="8"/>
      <c r="J2486" s="8"/>
    </row>
    <row r="2487" spans="6:10" x14ac:dyDescent="0.25">
      <c r="F2487" s="8"/>
      <c r="J2487" s="8"/>
    </row>
    <row r="2488" spans="6:10" x14ac:dyDescent="0.25">
      <c r="F2488" s="8"/>
      <c r="J2488" s="8"/>
    </row>
    <row r="2489" spans="6:10" x14ac:dyDescent="0.25">
      <c r="F2489" s="8"/>
      <c r="J2489" s="8"/>
    </row>
    <row r="2490" spans="6:10" x14ac:dyDescent="0.25">
      <c r="F2490" s="8"/>
      <c r="J2490" s="8"/>
    </row>
    <row r="2491" spans="6:10" x14ac:dyDescent="0.25">
      <c r="F2491" s="8"/>
      <c r="J2491" s="8"/>
    </row>
    <row r="2492" spans="6:10" x14ac:dyDescent="0.25">
      <c r="F2492" s="8"/>
      <c r="J2492" s="8"/>
    </row>
    <row r="2493" spans="6:10" x14ac:dyDescent="0.25">
      <c r="F2493" s="8"/>
      <c r="J2493" s="8"/>
    </row>
    <row r="2494" spans="6:10" x14ac:dyDescent="0.25">
      <c r="F2494" s="8"/>
      <c r="J2494" s="8"/>
    </row>
    <row r="2495" spans="6:10" x14ac:dyDescent="0.25">
      <c r="F2495" s="8"/>
      <c r="J2495" s="8"/>
    </row>
    <row r="2496" spans="6:10" x14ac:dyDescent="0.25">
      <c r="F2496" s="8"/>
      <c r="J2496" s="8"/>
    </row>
    <row r="2497" spans="6:10" x14ac:dyDescent="0.25">
      <c r="F2497" s="8"/>
      <c r="J2497" s="8"/>
    </row>
    <row r="2498" spans="6:10" x14ac:dyDescent="0.25">
      <c r="F2498" s="8"/>
      <c r="J2498" s="8"/>
    </row>
    <row r="2499" spans="6:10" x14ac:dyDescent="0.25">
      <c r="F2499" s="8"/>
      <c r="J2499" s="8"/>
    </row>
    <row r="2500" spans="6:10" x14ac:dyDescent="0.25">
      <c r="F2500" s="8"/>
      <c r="J2500" s="8"/>
    </row>
    <row r="2501" spans="6:10" x14ac:dyDescent="0.25">
      <c r="F2501" s="8"/>
      <c r="J2501" s="8"/>
    </row>
    <row r="2502" spans="6:10" x14ac:dyDescent="0.25">
      <c r="F2502" s="8"/>
      <c r="J2502" s="8"/>
    </row>
    <row r="2503" spans="6:10" x14ac:dyDescent="0.25">
      <c r="F2503" s="8"/>
      <c r="J2503" s="8"/>
    </row>
    <row r="2504" spans="6:10" x14ac:dyDescent="0.25">
      <c r="F2504" s="8"/>
      <c r="J2504" s="8"/>
    </row>
    <row r="2505" spans="6:10" x14ac:dyDescent="0.25">
      <c r="F2505" s="8"/>
      <c r="J2505" s="8"/>
    </row>
    <row r="2506" spans="6:10" x14ac:dyDescent="0.25">
      <c r="F2506" s="8"/>
      <c r="J2506" s="8"/>
    </row>
    <row r="2507" spans="6:10" x14ac:dyDescent="0.25">
      <c r="F2507" s="8"/>
      <c r="J2507" s="8"/>
    </row>
    <row r="2508" spans="6:10" x14ac:dyDescent="0.25">
      <c r="F2508" s="8"/>
      <c r="J2508" s="8"/>
    </row>
    <row r="2509" spans="6:10" x14ac:dyDescent="0.25">
      <c r="F2509" s="8"/>
      <c r="J2509" s="8"/>
    </row>
    <row r="2510" spans="6:10" x14ac:dyDescent="0.25">
      <c r="F2510" s="8"/>
      <c r="J2510" s="8"/>
    </row>
    <row r="2511" spans="6:10" x14ac:dyDescent="0.25">
      <c r="F2511" s="8"/>
      <c r="J2511" s="8"/>
    </row>
    <row r="2512" spans="6:10" x14ac:dyDescent="0.25">
      <c r="F2512" s="8"/>
      <c r="J2512" s="8"/>
    </row>
    <row r="2513" spans="6:10" x14ac:dyDescent="0.25">
      <c r="F2513" s="8"/>
      <c r="J2513" s="8"/>
    </row>
    <row r="2514" spans="6:10" x14ac:dyDescent="0.25">
      <c r="F2514" s="8"/>
      <c r="J2514" s="8"/>
    </row>
    <row r="2515" spans="6:10" x14ac:dyDescent="0.25">
      <c r="F2515" s="8"/>
      <c r="J2515" s="8"/>
    </row>
    <row r="2516" spans="6:10" x14ac:dyDescent="0.25">
      <c r="F2516" s="8"/>
      <c r="J2516" s="8"/>
    </row>
    <row r="2517" spans="6:10" x14ac:dyDescent="0.25">
      <c r="F2517" s="8"/>
      <c r="J2517" s="8"/>
    </row>
    <row r="2518" spans="6:10" x14ac:dyDescent="0.25">
      <c r="F2518" s="8"/>
      <c r="J2518" s="8"/>
    </row>
    <row r="2519" spans="6:10" x14ac:dyDescent="0.25">
      <c r="F2519" s="8"/>
      <c r="J2519" s="8"/>
    </row>
    <row r="2520" spans="6:10" x14ac:dyDescent="0.25">
      <c r="F2520" s="8"/>
      <c r="J2520" s="8"/>
    </row>
    <row r="2521" spans="6:10" x14ac:dyDescent="0.25">
      <c r="F2521" s="8"/>
      <c r="J2521" s="8"/>
    </row>
    <row r="2522" spans="6:10" x14ac:dyDescent="0.25">
      <c r="F2522" s="8"/>
      <c r="J2522" s="8"/>
    </row>
    <row r="2523" spans="6:10" x14ac:dyDescent="0.25">
      <c r="F2523" s="8"/>
      <c r="J2523" s="8"/>
    </row>
    <row r="2524" spans="6:10" x14ac:dyDescent="0.25">
      <c r="F2524" s="8"/>
      <c r="J2524" s="8"/>
    </row>
    <row r="2525" spans="6:10" x14ac:dyDescent="0.25">
      <c r="F2525" s="8"/>
      <c r="J2525" s="8"/>
    </row>
    <row r="2526" spans="6:10" x14ac:dyDescent="0.25">
      <c r="F2526" s="8"/>
      <c r="J2526" s="8"/>
    </row>
    <row r="2527" spans="6:10" x14ac:dyDescent="0.25">
      <c r="F2527" s="8"/>
      <c r="J2527" s="8"/>
    </row>
    <row r="2528" spans="6:10" x14ac:dyDescent="0.25">
      <c r="F2528" s="8"/>
      <c r="J2528" s="8"/>
    </row>
    <row r="2529" spans="6:10" x14ac:dyDescent="0.25">
      <c r="F2529" s="8"/>
      <c r="J2529" s="8"/>
    </row>
    <row r="2530" spans="6:10" x14ac:dyDescent="0.25">
      <c r="F2530" s="8"/>
      <c r="J2530" s="8"/>
    </row>
    <row r="2531" spans="6:10" x14ac:dyDescent="0.25">
      <c r="F2531" s="8"/>
      <c r="J2531" s="8"/>
    </row>
    <row r="2532" spans="6:10" x14ac:dyDescent="0.25">
      <c r="F2532" s="8"/>
      <c r="J2532" s="8"/>
    </row>
    <row r="2533" spans="6:10" x14ac:dyDescent="0.25">
      <c r="F2533" s="8"/>
      <c r="J2533" s="8"/>
    </row>
    <row r="2534" spans="6:10" x14ac:dyDescent="0.25">
      <c r="F2534" s="8"/>
      <c r="J2534" s="8"/>
    </row>
    <row r="2535" spans="6:10" x14ac:dyDescent="0.25">
      <c r="F2535" s="8"/>
      <c r="J2535" s="8"/>
    </row>
    <row r="2536" spans="6:10" x14ac:dyDescent="0.25">
      <c r="F2536" s="8"/>
      <c r="J2536" s="8"/>
    </row>
    <row r="2537" spans="6:10" x14ac:dyDescent="0.25">
      <c r="F2537" s="8"/>
      <c r="J2537" s="8"/>
    </row>
    <row r="2538" spans="6:10" x14ac:dyDescent="0.25">
      <c r="F2538" s="8"/>
      <c r="J2538" s="8"/>
    </row>
    <row r="2539" spans="6:10" x14ac:dyDescent="0.25">
      <c r="F2539" s="8"/>
      <c r="J2539" s="8"/>
    </row>
    <row r="2540" spans="6:10" x14ac:dyDescent="0.25">
      <c r="F2540" s="8"/>
      <c r="J2540" s="8"/>
    </row>
  </sheetData>
  <mergeCells count="38">
    <mergeCell ref="D267:E267"/>
    <mergeCell ref="D261:E261"/>
    <mergeCell ref="A263:C263"/>
    <mergeCell ref="D264:E264"/>
    <mergeCell ref="D265:E265"/>
    <mergeCell ref="D266:E266"/>
    <mergeCell ref="J239:J240"/>
    <mergeCell ref="J246:J251"/>
    <mergeCell ref="A259:B259"/>
    <mergeCell ref="D259:E259"/>
    <mergeCell ref="D260:E260"/>
    <mergeCell ref="J226:J231"/>
    <mergeCell ref="B179:B180"/>
    <mergeCell ref="C179:C180"/>
    <mergeCell ref="D179:D180"/>
    <mergeCell ref="E179:E180"/>
    <mergeCell ref="J179:J180"/>
    <mergeCell ref="A209:E209"/>
    <mergeCell ref="F209:G209"/>
    <mergeCell ref="H209:I209"/>
    <mergeCell ref="B210:B211"/>
    <mergeCell ref="C210:C211"/>
    <mergeCell ref="D210:D211"/>
    <mergeCell ref="E210:E211"/>
    <mergeCell ref="J210:J211"/>
    <mergeCell ref="J8:J9"/>
    <mergeCell ref="J23:J25"/>
    <mergeCell ref="K102:K103"/>
    <mergeCell ref="J155:J160"/>
    <mergeCell ref="A178:E178"/>
    <mergeCell ref="F178:G178"/>
    <mergeCell ref="H178:I178"/>
    <mergeCell ref="A2:G2"/>
    <mergeCell ref="B4:J4"/>
    <mergeCell ref="B5:G5"/>
    <mergeCell ref="A7:E7"/>
    <mergeCell ref="F7:G7"/>
    <mergeCell ref="H7:I7"/>
  </mergeCells>
  <pageMargins left="0.25" right="0.25" top="0.75" bottom="0.75" header="0.3" footer="0.3"/>
  <pageSetup paperSize="9" scale="59" fitToHeight="0" orientation="portrait" r:id="rId1"/>
  <headerFooter alignWithMargins="0"/>
  <rowBreaks count="4" manualBreakCount="4">
    <brk id="38" max="9" man="1"/>
    <brk id="104" max="9" man="1"/>
    <brk id="177" max="9" man="1"/>
    <brk id="224"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25"/>
  <sheetViews>
    <sheetView zoomScale="115" zoomScaleNormal="115" workbookViewId="0">
      <selection activeCell="J36" sqref="J36"/>
    </sheetView>
  </sheetViews>
  <sheetFormatPr defaultColWidth="9.140625" defaultRowHeight="14.25" x14ac:dyDescent="0.2"/>
  <cols>
    <col min="1" max="1" width="5.28515625" style="425" customWidth="1"/>
    <col min="2" max="2" width="25.5703125" style="425" customWidth="1"/>
    <col min="3" max="40" width="3.7109375" style="425" customWidth="1"/>
    <col min="41" max="16384" width="9.140625" style="425"/>
  </cols>
  <sheetData>
    <row r="1" spans="1:38" ht="13.9" x14ac:dyDescent="0.25">
      <c r="A1" s="508" t="s">
        <v>570</v>
      </c>
      <c r="B1" s="508"/>
      <c r="C1" s="508"/>
      <c r="D1" s="508"/>
      <c r="E1" s="508"/>
      <c r="F1" s="508"/>
      <c r="G1" s="508"/>
      <c r="H1" s="508"/>
      <c r="I1" s="508"/>
      <c r="J1" s="508"/>
      <c r="K1" s="508"/>
      <c r="L1" s="508"/>
      <c r="M1" s="508"/>
      <c r="N1" s="508"/>
      <c r="O1" s="508"/>
      <c r="P1" s="508"/>
      <c r="Q1" s="508"/>
      <c r="R1" s="508"/>
      <c r="S1" s="508"/>
      <c r="T1" s="508"/>
      <c r="U1" s="508"/>
      <c r="V1" s="508"/>
      <c r="W1" s="508"/>
      <c r="X1" s="508"/>
      <c r="Y1" s="508"/>
      <c r="Z1" s="508"/>
      <c r="AA1" s="508"/>
      <c r="AB1" s="508"/>
      <c r="AC1" s="508"/>
      <c r="AD1" s="508"/>
      <c r="AE1" s="508"/>
      <c r="AF1" s="508"/>
      <c r="AG1" s="508"/>
      <c r="AH1" s="508"/>
      <c r="AI1" s="508"/>
      <c r="AJ1" s="508"/>
      <c r="AK1" s="508"/>
      <c r="AL1" s="508"/>
    </row>
    <row r="3" spans="1:38" ht="15" x14ac:dyDescent="0.25">
      <c r="A3" s="509" t="s">
        <v>571</v>
      </c>
      <c r="B3" s="509" t="s">
        <v>572</v>
      </c>
      <c r="C3" s="426"/>
      <c r="D3" s="507" t="s">
        <v>573</v>
      </c>
      <c r="E3" s="507"/>
      <c r="F3" s="507"/>
      <c r="G3" s="507"/>
      <c r="H3" s="507"/>
      <c r="I3" s="507"/>
      <c r="J3" s="507"/>
      <c r="K3" s="507"/>
      <c r="L3" s="507"/>
      <c r="M3" s="507"/>
      <c r="N3" s="507"/>
      <c r="O3" s="507"/>
      <c r="P3" s="507"/>
      <c r="Q3" s="507"/>
      <c r="R3" s="507"/>
      <c r="S3" s="507"/>
      <c r="T3" s="507"/>
      <c r="U3" s="507"/>
      <c r="V3" s="507"/>
      <c r="W3" s="507"/>
      <c r="X3" s="507"/>
      <c r="Y3" s="507"/>
      <c r="Z3" s="507"/>
      <c r="AA3" s="507"/>
      <c r="AB3" s="427"/>
      <c r="AC3" s="427"/>
      <c r="AD3" s="427"/>
      <c r="AE3" s="427"/>
      <c r="AF3" s="427"/>
      <c r="AG3" s="427"/>
      <c r="AH3" s="427"/>
      <c r="AI3" s="427"/>
      <c r="AJ3" s="427"/>
      <c r="AK3" s="427"/>
      <c r="AL3" s="427"/>
    </row>
    <row r="4" spans="1:38" x14ac:dyDescent="0.2">
      <c r="A4" s="509"/>
      <c r="B4" s="509"/>
      <c r="C4" s="427"/>
      <c r="D4" s="428">
        <v>1</v>
      </c>
      <c r="E4" s="428">
        <v>2</v>
      </c>
      <c r="F4" s="428">
        <v>3</v>
      </c>
      <c r="G4" s="428">
        <v>4</v>
      </c>
      <c r="H4" s="428">
        <v>5</v>
      </c>
      <c r="I4" s="428">
        <v>6</v>
      </c>
      <c r="J4" s="428">
        <v>7</v>
      </c>
      <c r="K4" s="428">
        <v>8</v>
      </c>
      <c r="L4" s="428">
        <v>9</v>
      </c>
      <c r="M4" s="428">
        <v>10</v>
      </c>
      <c r="N4" s="428">
        <v>11</v>
      </c>
      <c r="O4" s="428">
        <v>12</v>
      </c>
      <c r="P4" s="428">
        <v>13</v>
      </c>
      <c r="Q4" s="428">
        <v>14</v>
      </c>
      <c r="R4" s="428">
        <v>15</v>
      </c>
      <c r="S4" s="428">
        <v>16</v>
      </c>
      <c r="T4" s="428">
        <v>17</v>
      </c>
      <c r="U4" s="428">
        <v>18</v>
      </c>
      <c r="V4" s="428">
        <v>19</v>
      </c>
      <c r="W4" s="428">
        <v>20</v>
      </c>
      <c r="X4" s="428">
        <v>21</v>
      </c>
      <c r="Y4" s="428">
        <v>22</v>
      </c>
      <c r="Z4" s="428">
        <v>23</v>
      </c>
      <c r="AA4" s="428">
        <v>24</v>
      </c>
      <c r="AB4" s="428">
        <v>25</v>
      </c>
      <c r="AC4" s="428">
        <v>26</v>
      </c>
      <c r="AD4" s="428">
        <v>27</v>
      </c>
      <c r="AE4" s="428">
        <v>28</v>
      </c>
      <c r="AF4" s="428">
        <v>29</v>
      </c>
      <c r="AG4" s="428">
        <v>30</v>
      </c>
      <c r="AH4" s="428">
        <v>31</v>
      </c>
      <c r="AI4" s="428">
        <v>32</v>
      </c>
      <c r="AJ4" s="427">
        <v>33</v>
      </c>
      <c r="AK4" s="427">
        <v>34</v>
      </c>
      <c r="AL4" s="427" t="s">
        <v>601</v>
      </c>
    </row>
    <row r="5" spans="1:38" ht="13.9" x14ac:dyDescent="0.25">
      <c r="A5" s="437">
        <v>1</v>
      </c>
      <c r="B5" s="441" t="s">
        <v>574</v>
      </c>
      <c r="D5" s="430" t="s">
        <v>575</v>
      </c>
      <c r="AL5" s="429"/>
    </row>
    <row r="6" spans="1:38" ht="13.9" x14ac:dyDescent="0.25">
      <c r="A6" s="438"/>
      <c r="B6" s="438"/>
      <c r="D6" s="431" t="s">
        <v>576</v>
      </c>
      <c r="E6" s="431"/>
      <c r="G6" s="432" t="s">
        <v>577</v>
      </c>
      <c r="AL6" s="429"/>
    </row>
    <row r="7" spans="1:38" ht="13.9" x14ac:dyDescent="0.25">
      <c r="A7" s="438"/>
      <c r="B7" s="438"/>
      <c r="D7" s="433"/>
      <c r="E7" s="433"/>
      <c r="G7" s="432"/>
      <c r="AL7" s="429"/>
    </row>
    <row r="8" spans="1:38" ht="13.9" x14ac:dyDescent="0.25">
      <c r="A8" s="438"/>
      <c r="B8" s="438"/>
      <c r="F8" s="432" t="s">
        <v>578</v>
      </c>
      <c r="AL8" s="429"/>
    </row>
    <row r="9" spans="1:38" ht="13.9" x14ac:dyDescent="0.25">
      <c r="A9" s="438"/>
      <c r="B9" s="438"/>
      <c r="F9" s="432" t="s">
        <v>579</v>
      </c>
      <c r="M9" s="432" t="s">
        <v>582</v>
      </c>
      <c r="AL9" s="429"/>
    </row>
    <row r="10" spans="1:38" ht="13.9" x14ac:dyDescent="0.25">
      <c r="A10" s="438"/>
      <c r="B10" s="438"/>
      <c r="F10" s="432" t="s">
        <v>580</v>
      </c>
      <c r="M10" s="432" t="s">
        <v>583</v>
      </c>
      <c r="AL10" s="429"/>
    </row>
    <row r="11" spans="1:38" ht="13.9" x14ac:dyDescent="0.25">
      <c r="A11" s="439">
        <v>2</v>
      </c>
      <c r="B11" s="438" t="s">
        <v>584</v>
      </c>
      <c r="F11" s="431" t="s">
        <v>576</v>
      </c>
      <c r="G11" s="434"/>
      <c r="H11" s="434"/>
      <c r="I11" s="434"/>
      <c r="J11" s="434"/>
      <c r="K11" s="434"/>
      <c r="L11" s="431" t="s">
        <v>581</v>
      </c>
      <c r="M11" s="434"/>
      <c r="AL11" s="429"/>
    </row>
    <row r="12" spans="1:38" ht="13.9" x14ac:dyDescent="0.25">
      <c r="A12" s="438"/>
      <c r="B12" s="438"/>
      <c r="AL12" s="429"/>
    </row>
    <row r="13" spans="1:38" ht="13.9" x14ac:dyDescent="0.25">
      <c r="A13" s="438"/>
      <c r="B13" s="438"/>
      <c r="G13" s="432" t="s">
        <v>578</v>
      </c>
      <c r="N13" s="432" t="s">
        <v>588</v>
      </c>
      <c r="AL13" s="429"/>
    </row>
    <row r="14" spans="1:38" ht="13.9" x14ac:dyDescent="0.25">
      <c r="A14" s="438"/>
      <c r="B14" s="438"/>
      <c r="G14" s="432" t="s">
        <v>579</v>
      </c>
      <c r="N14" s="432" t="s">
        <v>589</v>
      </c>
      <c r="AL14" s="429"/>
    </row>
    <row r="15" spans="1:38" ht="13.9" x14ac:dyDescent="0.25">
      <c r="A15" s="438"/>
      <c r="B15" s="438"/>
      <c r="G15" s="432" t="s">
        <v>585</v>
      </c>
      <c r="AL15" s="429"/>
    </row>
    <row r="16" spans="1:38" ht="13.9" x14ac:dyDescent="0.25">
      <c r="A16" s="439">
        <v>3</v>
      </c>
      <c r="B16" s="438" t="s">
        <v>586</v>
      </c>
      <c r="G16" s="431" t="s">
        <v>576</v>
      </c>
      <c r="H16" s="434"/>
      <c r="I16" s="434"/>
      <c r="J16" s="434"/>
      <c r="K16" s="434"/>
      <c r="L16" s="434"/>
      <c r="M16" s="434"/>
      <c r="N16" s="434"/>
      <c r="O16" s="431" t="s">
        <v>587</v>
      </c>
      <c r="P16" s="434"/>
      <c r="Q16" s="434"/>
      <c r="R16" s="434"/>
      <c r="S16" s="434"/>
      <c r="T16" s="434"/>
      <c r="AL16" s="429"/>
    </row>
    <row r="17" spans="1:38" ht="13.9" x14ac:dyDescent="0.25">
      <c r="A17" s="438"/>
      <c r="B17" s="438"/>
      <c r="AL17" s="429"/>
    </row>
    <row r="18" spans="1:38" ht="13.9" x14ac:dyDescent="0.25">
      <c r="A18" s="439">
        <v>4</v>
      </c>
      <c r="B18" s="438" t="s">
        <v>590</v>
      </c>
      <c r="U18" s="431" t="s">
        <v>595</v>
      </c>
      <c r="V18" s="434"/>
      <c r="W18" s="434"/>
      <c r="AL18" s="429"/>
    </row>
    <row r="19" spans="1:38" ht="13.9" x14ac:dyDescent="0.25">
      <c r="A19" s="438"/>
      <c r="B19" s="438" t="s">
        <v>591</v>
      </c>
      <c r="AL19" s="429"/>
    </row>
    <row r="20" spans="1:38" ht="13.9" x14ac:dyDescent="0.25">
      <c r="A20" s="438"/>
      <c r="B20" s="438"/>
      <c r="X20" s="431" t="s">
        <v>592</v>
      </c>
      <c r="Y20" s="434"/>
      <c r="Z20" s="434"/>
      <c r="AA20" s="434"/>
      <c r="AB20" s="432" t="s">
        <v>597</v>
      </c>
      <c r="AC20" s="432"/>
      <c r="AL20" s="429"/>
    </row>
    <row r="21" spans="1:38" ht="13.9" x14ac:dyDescent="0.25">
      <c r="A21" s="439">
        <v>5</v>
      </c>
      <c r="B21" s="438" t="s">
        <v>593</v>
      </c>
      <c r="AB21" s="432" t="s">
        <v>598</v>
      </c>
      <c r="AC21" s="432"/>
      <c r="AL21" s="429"/>
    </row>
    <row r="22" spans="1:38" ht="13.9" x14ac:dyDescent="0.25">
      <c r="A22" s="438"/>
      <c r="B22" s="438" t="s">
        <v>594</v>
      </c>
      <c r="AB22" s="432" t="s">
        <v>599</v>
      </c>
      <c r="AC22" s="432"/>
      <c r="AL22" s="429"/>
    </row>
    <row r="23" spans="1:38" ht="13.9" x14ac:dyDescent="0.25">
      <c r="A23" s="438"/>
      <c r="B23" s="438"/>
      <c r="G23" s="430" t="s">
        <v>596</v>
      </c>
      <c r="AB23" s="432" t="s">
        <v>600</v>
      </c>
      <c r="AC23" s="432"/>
      <c r="AL23" s="429"/>
    </row>
    <row r="24" spans="1:38" ht="13.9" x14ac:dyDescent="0.25">
      <c r="A24" s="438"/>
      <c r="B24" s="438"/>
      <c r="AL24" s="429"/>
    </row>
    <row r="25" spans="1:38" ht="13.9" x14ac:dyDescent="0.25">
      <c r="A25" s="440"/>
      <c r="B25" s="440"/>
      <c r="C25" s="435"/>
      <c r="D25" s="435"/>
      <c r="E25" s="435"/>
      <c r="F25" s="435"/>
      <c r="G25" s="435"/>
      <c r="H25" s="435"/>
      <c r="I25" s="435"/>
      <c r="J25" s="435"/>
      <c r="K25" s="435"/>
      <c r="L25" s="435"/>
      <c r="M25" s="435"/>
      <c r="N25" s="435"/>
      <c r="O25" s="435"/>
      <c r="P25" s="435"/>
      <c r="Q25" s="435"/>
      <c r="R25" s="435"/>
      <c r="S25" s="435"/>
      <c r="T25" s="435"/>
      <c r="U25" s="435"/>
      <c r="V25" s="435"/>
      <c r="W25" s="435"/>
      <c r="X25" s="435"/>
      <c r="Y25" s="435"/>
      <c r="Z25" s="435"/>
      <c r="AA25" s="435"/>
      <c r="AB25" s="435"/>
      <c r="AC25" s="435"/>
      <c r="AD25" s="435"/>
      <c r="AE25" s="435"/>
      <c r="AF25" s="435"/>
      <c r="AG25" s="435"/>
      <c r="AH25" s="435"/>
      <c r="AI25" s="435"/>
      <c r="AJ25" s="435"/>
      <c r="AK25" s="435"/>
      <c r="AL25" s="436"/>
    </row>
  </sheetData>
  <mergeCells count="4">
    <mergeCell ref="D3:AA3"/>
    <mergeCell ref="A1:AL1"/>
    <mergeCell ref="A3:A4"/>
    <mergeCell ref="B3:B4"/>
  </mergeCells>
  <pageMargins left="0.7" right="0.7" top="0.75" bottom="0.75" header="0.3" footer="0.3"/>
  <pageSetup paperSize="9" scale="79"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Jadual</vt:lpstr>
      <vt:lpstr>KOS PELAWAAN</vt:lpstr>
      <vt:lpstr>(TOR)</vt:lpstr>
      <vt:lpstr>Tempoh Perkhidmatan</vt:lpstr>
      <vt:lpstr>'(TOR)'!Print_Area</vt:lpstr>
      <vt:lpstr>Jadual!Print_Area</vt:lpstr>
      <vt:lpstr>'KOS PELAWAAN'!Print_Area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i3</dc:creator>
  <cp:lastModifiedBy>Zaidi Mat Rifin</cp:lastModifiedBy>
  <cp:lastPrinted>2023-09-25T01:33:41Z</cp:lastPrinted>
  <dcterms:created xsi:type="dcterms:W3CDTF">2021-06-15T12:09:30Z</dcterms:created>
  <dcterms:modified xsi:type="dcterms:W3CDTF">2023-09-27T07:29:52Z</dcterms:modified>
</cp:coreProperties>
</file>